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ese/Documents/Tropimundo/Thesis/Data Analysis and Code/"/>
    </mc:Choice>
  </mc:AlternateContent>
  <xr:revisionPtr revIDLastSave="0" documentId="13_ncr:1_{B55133CE-4818-584D-AB37-5B53FAFB3B3F}" xr6:coauthVersionLast="47" xr6:coauthVersionMax="47" xr10:uidLastSave="{00000000-0000-0000-0000-000000000000}"/>
  <bookViews>
    <workbookView xWindow="0" yWindow="500" windowWidth="28800" windowHeight="16360" activeTab="2" xr2:uid="{97C69020-4B78-9546-8E96-51BF24D86CA2}"/>
  </bookViews>
  <sheets>
    <sheet name="Full" sheetId="1" r:id="rId1"/>
    <sheet name="-domestic" sheetId="2" r:id="rId2"/>
    <sheet name="-birds" sheetId="3" r:id="rId3"/>
    <sheet name="Averages and standard deviation" sheetId="7" r:id="rId4"/>
    <sheet name="Birds per PC spot" sheetId="6" r:id="rId5"/>
    <sheet name="Birds" sheetId="5" r:id="rId6"/>
    <sheet name="Sheet1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" i="1" l="1"/>
  <c r="R33" i="1"/>
  <c r="L36" i="7"/>
  <c r="N32" i="7"/>
  <c r="O32" i="7"/>
  <c r="Q33" i="7"/>
  <c r="Q32" i="7"/>
  <c r="S35" i="7"/>
  <c r="S34" i="7"/>
  <c r="S33" i="7"/>
  <c r="S32" i="7"/>
  <c r="S39" i="7"/>
  <c r="S38" i="7"/>
  <c r="S37" i="7"/>
  <c r="S36" i="7"/>
  <c r="Q36" i="7"/>
  <c r="P36" i="7"/>
  <c r="O37" i="7"/>
  <c r="O36" i="7"/>
  <c r="N36" i="7"/>
  <c r="M36" i="7"/>
  <c r="L37" i="7"/>
  <c r="P37" i="7"/>
  <c r="M37" i="7"/>
  <c r="L32" i="7"/>
  <c r="L33" i="7"/>
  <c r="M33" i="7"/>
  <c r="M32" i="7"/>
  <c r="K38" i="7"/>
  <c r="O38" i="7"/>
  <c r="P38" i="7"/>
  <c r="K36" i="7"/>
  <c r="P39" i="7"/>
  <c r="P35" i="7"/>
  <c r="P34" i="7"/>
  <c r="O39" i="7"/>
  <c r="O35" i="7"/>
  <c r="O34" i="7"/>
  <c r="K39" i="7"/>
  <c r="K35" i="7"/>
  <c r="K34" i="7"/>
  <c r="Q37" i="7"/>
  <c r="P33" i="7"/>
  <c r="P32" i="7"/>
  <c r="O33" i="7"/>
  <c r="N37" i="7"/>
  <c r="N33" i="7"/>
  <c r="K33" i="7"/>
  <c r="K37" i="7"/>
  <c r="K32" i="7"/>
</calcChain>
</file>

<file path=xl/sharedStrings.xml><?xml version="1.0" encoding="utf-8"?>
<sst xmlns="http://schemas.openxmlformats.org/spreadsheetml/2006/main" count="709" uniqueCount="79">
  <si>
    <t>Assemblage</t>
  </si>
  <si>
    <t>Method</t>
  </si>
  <si>
    <t>Site</t>
  </si>
  <si>
    <t>Location</t>
  </si>
  <si>
    <t>Observed richness</t>
  </si>
  <si>
    <t>Estimated richness</t>
  </si>
  <si>
    <t>s.e.</t>
  </si>
  <si>
    <t>LCL</t>
  </si>
  <si>
    <t>UCL</t>
  </si>
  <si>
    <t>Effort</t>
  </si>
  <si>
    <t>Human Activity</t>
  </si>
  <si>
    <t>Floor obstruction (%)</t>
  </si>
  <si>
    <t>Understory obstruction (%)</t>
  </si>
  <si>
    <t>Nypa present n/y 0/1</t>
  </si>
  <si>
    <t>CT_A|S1|Inland</t>
  </si>
  <si>
    <t>CT_A</t>
  </si>
  <si>
    <t>S1</t>
  </si>
  <si>
    <t>Inland</t>
  </si>
  <si>
    <t>CT_A|S1|Shore</t>
  </si>
  <si>
    <t>Shore</t>
  </si>
  <si>
    <t>CT_A|S2|Inland</t>
  </si>
  <si>
    <t>S2</t>
  </si>
  <si>
    <t>CT_A|S2|Shore</t>
  </si>
  <si>
    <t>CT_A|S3|Inland</t>
  </si>
  <si>
    <t>S3</t>
  </si>
  <si>
    <t>CT_A|S3|Shore</t>
  </si>
  <si>
    <t>CT_A|S4|Inland</t>
  </si>
  <si>
    <t>S4</t>
  </si>
  <si>
    <t>CT_A|S4|Shore</t>
  </si>
  <si>
    <t>CT_A|S5|Inland</t>
  </si>
  <si>
    <t>S5</t>
  </si>
  <si>
    <t>CT_A|S5|Shore</t>
  </si>
  <si>
    <t>CT_S|S1|Inland</t>
  </si>
  <si>
    <t>CT_S</t>
  </si>
  <si>
    <t>CT_S|S1|Shore</t>
  </si>
  <si>
    <t>CT_S|S2|Inland</t>
  </si>
  <si>
    <t>CT_S|S2|Shore</t>
  </si>
  <si>
    <t>CT_S|S3|Inland</t>
  </si>
  <si>
    <t>CT_S|S3|Shore</t>
  </si>
  <si>
    <t>CT_S|S4|Inland</t>
  </si>
  <si>
    <t>CT_S|S4|Shore</t>
  </si>
  <si>
    <t>CT_S|S5|Inland</t>
  </si>
  <si>
    <t>CT_S|S5|Shore</t>
  </si>
  <si>
    <t>PC|S1|Inland</t>
  </si>
  <si>
    <t>PC</t>
  </si>
  <si>
    <t>PC|S1|Shore</t>
  </si>
  <si>
    <t>PC|S2|Inland</t>
  </si>
  <si>
    <t>PC|S2|Shore</t>
  </si>
  <si>
    <t>PC|S3|Inland</t>
  </si>
  <si>
    <t>PC|S3|Shore</t>
  </si>
  <si>
    <t>PC|S4|Inland</t>
  </si>
  <si>
    <t>PC|S4|Shore</t>
  </si>
  <si>
    <t>PC|S5|Inland</t>
  </si>
  <si>
    <t>PC|S5|Shore</t>
  </si>
  <si>
    <t>Distance from dredging (m)</t>
  </si>
  <si>
    <t>Tree species richness</t>
  </si>
  <si>
    <t>Distance from shore (m)</t>
  </si>
  <si>
    <t>Nypa density</t>
  </si>
  <si>
    <t>Presence_stilt_root</t>
  </si>
  <si>
    <t>NDVI</t>
  </si>
  <si>
    <t>Class</t>
  </si>
  <si>
    <t>Classes code</t>
  </si>
  <si>
    <t>Mixed mangrove</t>
  </si>
  <si>
    <t>Nypa</t>
  </si>
  <si>
    <t>Non mangrove</t>
  </si>
  <si>
    <t>Water</t>
  </si>
  <si>
    <t>DT</t>
  </si>
  <si>
    <t>DI</t>
  </si>
  <si>
    <t>BW</t>
  </si>
  <si>
    <t>VL</t>
  </si>
  <si>
    <t>NI</t>
  </si>
  <si>
    <t>Average inland</t>
  </si>
  <si>
    <t>Average shore</t>
  </si>
  <si>
    <t>SD inland</t>
  </si>
  <si>
    <t>SD shore</t>
  </si>
  <si>
    <t>Min inland</t>
  </si>
  <si>
    <t>Min shore</t>
  </si>
  <si>
    <t>Max inland</t>
  </si>
  <si>
    <t>Max 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</si>
</sst>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3" borderId="1" xfId="0" applyFill="1" applyBorder="1"/>
    <xf numFmtId="0" fontId="0" fillId="3" borderId="0" xfId="0" applyFill="1"/>
    <xf numFmtId="0" fontId="0" fillId="3" borderId="2" xfId="0" applyFill="1" applyBorder="1"/>
    <xf numFmtId="0" fontId="5" fillId="3" borderId="0" xfId="0" applyFont="1" applyFill="1"/>
    <xf numFmtId="0" fontId="0" fillId="4" borderId="1" xfId="0" applyFill="1" applyBorder="1"/>
    <xf numFmtId="0" fontId="0" fillId="4" borderId="0" xfId="0" applyFill="1"/>
    <xf numFmtId="0" fontId="0" fillId="4" borderId="2" xfId="0" applyFill="1" applyBorder="1"/>
    <xf numFmtId="0" fontId="5" fillId="4" borderId="0" xfId="0" applyFont="1" applyFill="1"/>
    <xf numFmtId="0" fontId="0" fillId="4" borderId="3" xfId="0" applyFill="1" applyBorder="1"/>
    <xf numFmtId="0" fontId="0" fillId="3" borderId="3" xfId="0" applyFill="1" applyBorder="1"/>
    <xf numFmtId="0" fontId="1" fillId="4" borderId="1" xfId="0" applyFont="1" applyFill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AED1-EE5B-1F40-B32A-4B104F0B2487}">
  <sheetPr>
    <pageSetUpPr fitToPage="1"/>
  </sheetPr>
  <dimension ref="A1:R34"/>
  <sheetViews>
    <sheetView workbookViewId="0">
      <selection activeCell="W12" sqref="W12"/>
    </sheetView>
  </sheetViews>
  <sheetFormatPr baseColWidth="10" defaultRowHeight="16" x14ac:dyDescent="0.2"/>
  <cols>
    <col min="1" max="1" width="15.5" customWidth="1"/>
    <col min="5" max="5" width="16" customWidth="1"/>
    <col min="6" max="6" width="16.6640625" customWidth="1"/>
    <col min="11" max="11" width="13.5" customWidth="1"/>
    <col min="12" max="12" width="19.1640625" customWidth="1"/>
    <col min="13" max="13" width="23.5" customWidth="1"/>
    <col min="14" max="14" width="18" customWidth="1"/>
    <col min="15" max="16" width="23.1640625" customWidth="1"/>
    <col min="17" max="17" width="18.6640625" customWidth="1"/>
  </cols>
  <sheetData>
    <row r="1" spans="1:18" s="1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54</v>
      </c>
      <c r="P1" s="8" t="s">
        <v>56</v>
      </c>
      <c r="Q1" s="1" t="s">
        <v>55</v>
      </c>
      <c r="R1" s="8" t="s">
        <v>59</v>
      </c>
    </row>
    <row r="2" spans="1:18" x14ac:dyDescent="0.2">
      <c r="A2" s="2" t="s">
        <v>14</v>
      </c>
      <c r="B2" s="2" t="s">
        <v>15</v>
      </c>
      <c r="C2" s="2" t="s">
        <v>16</v>
      </c>
      <c r="D2" s="2" t="s">
        <v>17</v>
      </c>
      <c r="E2" s="2">
        <v>2</v>
      </c>
      <c r="F2" s="2">
        <v>2</v>
      </c>
      <c r="G2" s="2">
        <v>0.59859506654683092</v>
      </c>
      <c r="H2" s="2">
        <v>2</v>
      </c>
      <c r="I2" s="2">
        <v>3.1732247717551449</v>
      </c>
      <c r="J2" s="2">
        <v>33</v>
      </c>
      <c r="K2" s="2">
        <v>0.61</v>
      </c>
      <c r="L2" s="2">
        <v>5</v>
      </c>
      <c r="M2" s="2">
        <v>10</v>
      </c>
      <c r="N2" s="2">
        <v>0</v>
      </c>
      <c r="O2" s="2">
        <v>9510.68</v>
      </c>
      <c r="P2" s="6">
        <v>117</v>
      </c>
      <c r="Q2" s="6">
        <v>3</v>
      </c>
      <c r="R2" s="10">
        <v>0.85486439999999997</v>
      </c>
    </row>
    <row r="3" spans="1:18" x14ac:dyDescent="0.2">
      <c r="A3" s="2" t="s">
        <v>18</v>
      </c>
      <c r="B3" s="2" t="s">
        <v>15</v>
      </c>
      <c r="C3" s="2" t="s">
        <v>16</v>
      </c>
      <c r="D3" s="2" t="s">
        <v>19</v>
      </c>
      <c r="E3" s="2">
        <v>4</v>
      </c>
      <c r="F3" s="2">
        <v>4.954545454545455</v>
      </c>
      <c r="G3" s="2">
        <v>1.3986806829923839</v>
      </c>
      <c r="H3" s="2">
        <v>4</v>
      </c>
      <c r="I3" s="2">
        <v>7.6959092190824121</v>
      </c>
      <c r="J3" s="2">
        <v>21</v>
      </c>
      <c r="K3" s="2">
        <v>1.23</v>
      </c>
      <c r="L3" s="2">
        <v>20</v>
      </c>
      <c r="M3" s="2">
        <v>40</v>
      </c>
      <c r="N3" s="2">
        <v>0</v>
      </c>
      <c r="O3" s="2">
        <v>8637.52</v>
      </c>
      <c r="P3" s="6">
        <v>27.7</v>
      </c>
      <c r="Q3" s="6">
        <v>7</v>
      </c>
      <c r="R3" s="10">
        <v>0.91375214000000005</v>
      </c>
    </row>
    <row r="4" spans="1:18" x14ac:dyDescent="0.2">
      <c r="A4" s="2" t="s">
        <v>20</v>
      </c>
      <c r="B4" s="2" t="s">
        <v>15</v>
      </c>
      <c r="C4" s="2" t="s">
        <v>21</v>
      </c>
      <c r="D4" s="2" t="s">
        <v>17</v>
      </c>
      <c r="E4" s="2">
        <v>2</v>
      </c>
      <c r="F4" s="2">
        <v>2.96875</v>
      </c>
      <c r="G4" s="2">
        <v>0.54239066233545052</v>
      </c>
      <c r="H4" s="2">
        <v>2</v>
      </c>
      <c r="I4" s="2">
        <v>4.0318161637283083</v>
      </c>
      <c r="J4" s="2">
        <v>19</v>
      </c>
      <c r="K4" s="2">
        <v>0.48</v>
      </c>
      <c r="L4" s="2">
        <v>30</v>
      </c>
      <c r="M4" s="2">
        <v>10</v>
      </c>
      <c r="N4" s="2">
        <v>0</v>
      </c>
      <c r="O4" s="2">
        <v>9010.94</v>
      </c>
      <c r="P4" s="6">
        <v>157.4</v>
      </c>
      <c r="Q4" s="6">
        <v>3</v>
      </c>
      <c r="R4" s="10">
        <v>0.90984770000000004</v>
      </c>
    </row>
    <row r="5" spans="1:18" x14ac:dyDescent="0.2">
      <c r="A5" s="2" t="s">
        <v>22</v>
      </c>
      <c r="B5" s="2" t="s">
        <v>15</v>
      </c>
      <c r="C5" s="2" t="s">
        <v>21</v>
      </c>
      <c r="D5" s="2" t="s">
        <v>19</v>
      </c>
      <c r="E5" s="2">
        <v>4</v>
      </c>
      <c r="F5" s="2">
        <v>4.484375</v>
      </c>
      <c r="G5" s="2">
        <v>1.3903262002894901</v>
      </c>
      <c r="H5" s="2">
        <v>4</v>
      </c>
      <c r="I5" s="2">
        <v>7.2093642793298223</v>
      </c>
      <c r="J5" s="2">
        <v>31</v>
      </c>
      <c r="K5" s="2">
        <v>0.48</v>
      </c>
      <c r="L5" s="2">
        <v>40</v>
      </c>
      <c r="M5" s="2">
        <v>65</v>
      </c>
      <c r="N5" s="2">
        <v>0</v>
      </c>
      <c r="O5" s="2">
        <v>8550.3799999999992</v>
      </c>
      <c r="P5" s="7">
        <v>16</v>
      </c>
      <c r="Q5" s="7">
        <v>4</v>
      </c>
      <c r="R5" s="10">
        <v>0.89918569999999998</v>
      </c>
    </row>
    <row r="6" spans="1:18" x14ac:dyDescent="0.2">
      <c r="A6" s="2" t="s">
        <v>23</v>
      </c>
      <c r="B6" s="2" t="s">
        <v>15</v>
      </c>
      <c r="C6" s="2" t="s">
        <v>24</v>
      </c>
      <c r="D6" s="2" t="s">
        <v>17</v>
      </c>
      <c r="E6" s="2">
        <v>1</v>
      </c>
      <c r="F6" s="2">
        <v>1</v>
      </c>
      <c r="G6" s="2">
        <v>0</v>
      </c>
      <c r="H6" s="2">
        <v>1</v>
      </c>
      <c r="I6" s="2">
        <v>1</v>
      </c>
      <c r="J6" s="2">
        <v>30</v>
      </c>
      <c r="K6" s="2">
        <v>0.33</v>
      </c>
      <c r="L6" s="2">
        <v>20</v>
      </c>
      <c r="M6" s="2">
        <v>45</v>
      </c>
      <c r="N6" s="2">
        <v>0</v>
      </c>
      <c r="O6" s="2">
        <v>5628.29</v>
      </c>
      <c r="P6" s="7">
        <v>110.3</v>
      </c>
      <c r="Q6" s="7">
        <v>3</v>
      </c>
      <c r="R6" s="10">
        <v>0.90957093</v>
      </c>
    </row>
    <row r="7" spans="1:18" x14ac:dyDescent="0.2">
      <c r="A7" s="2" t="s">
        <v>25</v>
      </c>
      <c r="B7" s="2" t="s">
        <v>15</v>
      </c>
      <c r="C7" s="2" t="s">
        <v>24</v>
      </c>
      <c r="D7" s="2" t="s">
        <v>19</v>
      </c>
      <c r="E7" s="2">
        <v>3</v>
      </c>
      <c r="F7" s="2">
        <v>3.241935483870968</v>
      </c>
      <c r="G7" s="2">
        <v>1.707433497967213</v>
      </c>
      <c r="H7" s="2">
        <v>3</v>
      </c>
      <c r="I7" s="2">
        <v>6.5884436458839488</v>
      </c>
      <c r="J7" s="2">
        <v>30</v>
      </c>
      <c r="K7" s="2">
        <v>4.67</v>
      </c>
      <c r="L7" s="2">
        <v>0</v>
      </c>
      <c r="M7" s="2">
        <v>0</v>
      </c>
      <c r="N7" s="2">
        <v>1</v>
      </c>
      <c r="O7" s="2">
        <v>5129.76</v>
      </c>
      <c r="P7" s="7">
        <v>5</v>
      </c>
      <c r="Q7" s="7">
        <v>4</v>
      </c>
      <c r="R7" s="10">
        <v>0.46172195999999999</v>
      </c>
    </row>
    <row r="8" spans="1:18" x14ac:dyDescent="0.2">
      <c r="A8" s="2" t="s">
        <v>26</v>
      </c>
      <c r="B8" s="2" t="s">
        <v>15</v>
      </c>
      <c r="C8" s="2" t="s">
        <v>27</v>
      </c>
      <c r="D8" s="2" t="s">
        <v>17</v>
      </c>
      <c r="E8" s="2">
        <v>4</v>
      </c>
      <c r="F8" s="2">
        <v>4.954545454545455</v>
      </c>
      <c r="G8" s="2">
        <v>1.013901850987565</v>
      </c>
      <c r="H8" s="2">
        <v>4</v>
      </c>
      <c r="I8" s="2">
        <v>6.9417565663395786</v>
      </c>
      <c r="J8" s="2">
        <v>21</v>
      </c>
      <c r="K8" s="2">
        <v>2.38</v>
      </c>
      <c r="L8" s="2">
        <v>95</v>
      </c>
      <c r="M8" s="2">
        <v>80</v>
      </c>
      <c r="N8" s="2">
        <v>0</v>
      </c>
      <c r="O8" s="2">
        <v>6425.73</v>
      </c>
      <c r="P8" s="7">
        <v>184</v>
      </c>
      <c r="Q8" s="7">
        <v>3</v>
      </c>
      <c r="R8" s="10">
        <v>0.85292000000000001</v>
      </c>
    </row>
    <row r="9" spans="1:18" x14ac:dyDescent="0.2">
      <c r="A9" s="2" t="s">
        <v>28</v>
      </c>
      <c r="B9" s="2" t="s">
        <v>15</v>
      </c>
      <c r="C9" s="2" t="s">
        <v>27</v>
      </c>
      <c r="D9" s="2" t="s">
        <v>19</v>
      </c>
      <c r="E9" s="2">
        <v>3</v>
      </c>
      <c r="F9" s="2">
        <v>3.9666666666666668</v>
      </c>
      <c r="G9" s="2">
        <v>0.51682345291354648</v>
      </c>
      <c r="H9" s="2">
        <v>3</v>
      </c>
      <c r="I9" s="2">
        <v>4.9796220207428501</v>
      </c>
      <c r="J9" s="2">
        <v>29</v>
      </c>
      <c r="K9" s="2">
        <v>0</v>
      </c>
      <c r="L9" s="2">
        <v>10</v>
      </c>
      <c r="M9" s="2">
        <v>5</v>
      </c>
      <c r="N9" s="2">
        <v>0</v>
      </c>
      <c r="O9" s="2">
        <v>5814.41</v>
      </c>
      <c r="P9" s="7">
        <v>5.4</v>
      </c>
      <c r="Q9" s="7">
        <v>3</v>
      </c>
      <c r="R9" s="10">
        <v>0.58195490000000005</v>
      </c>
    </row>
    <row r="10" spans="1:18" x14ac:dyDescent="0.2">
      <c r="A10" s="2" t="s">
        <v>29</v>
      </c>
      <c r="B10" s="2" t="s">
        <v>15</v>
      </c>
      <c r="C10" s="2" t="s">
        <v>30</v>
      </c>
      <c r="D10" s="2" t="s">
        <v>17</v>
      </c>
      <c r="E10" s="2">
        <v>2</v>
      </c>
      <c r="F10" s="2">
        <v>2</v>
      </c>
      <c r="G10" s="2">
        <v>0.55085638072336685</v>
      </c>
      <c r="H10" s="2">
        <v>2</v>
      </c>
      <c r="I10" s="2">
        <v>3.0796586668718828</v>
      </c>
      <c r="J10" s="2">
        <v>30</v>
      </c>
      <c r="K10" s="2">
        <v>0</v>
      </c>
      <c r="L10" s="2">
        <v>20</v>
      </c>
      <c r="M10" s="2">
        <v>15</v>
      </c>
      <c r="N10" s="2">
        <v>1</v>
      </c>
      <c r="O10" s="2">
        <v>907.19</v>
      </c>
      <c r="P10" s="7">
        <v>82</v>
      </c>
      <c r="Q10" s="7">
        <v>1</v>
      </c>
      <c r="R10" s="10">
        <v>0.74914440000000004</v>
      </c>
    </row>
    <row r="11" spans="1:18" x14ac:dyDescent="0.2">
      <c r="A11" s="2" t="s">
        <v>31</v>
      </c>
      <c r="B11" s="2" t="s">
        <v>15</v>
      </c>
      <c r="C11" s="2" t="s">
        <v>30</v>
      </c>
      <c r="D11" s="2" t="s">
        <v>19</v>
      </c>
      <c r="E11" s="2">
        <v>1</v>
      </c>
      <c r="F11" s="2">
        <v>1</v>
      </c>
      <c r="G11" s="2">
        <v>0</v>
      </c>
      <c r="H11" s="2">
        <v>1</v>
      </c>
      <c r="I11" s="2">
        <v>1</v>
      </c>
      <c r="J11" s="2">
        <v>30</v>
      </c>
      <c r="K11" s="2">
        <v>0</v>
      </c>
      <c r="L11" s="2">
        <v>75</v>
      </c>
      <c r="M11" s="2">
        <v>50</v>
      </c>
      <c r="N11" s="2">
        <v>1</v>
      </c>
      <c r="O11" s="2">
        <v>576.36</v>
      </c>
      <c r="P11" s="7">
        <v>20.9</v>
      </c>
      <c r="Q11" s="7">
        <v>1</v>
      </c>
      <c r="R11" s="10">
        <v>0.79863220000000001</v>
      </c>
    </row>
    <row r="12" spans="1:18" x14ac:dyDescent="0.2">
      <c r="A12" s="2" t="s">
        <v>32</v>
      </c>
      <c r="B12" s="2" t="s">
        <v>33</v>
      </c>
      <c r="C12" s="2" t="s">
        <v>16</v>
      </c>
      <c r="D12" s="2" t="s">
        <v>17</v>
      </c>
      <c r="E12" s="2">
        <v>3</v>
      </c>
      <c r="F12" s="2">
        <v>3.9705882352941182</v>
      </c>
      <c r="G12" s="2">
        <v>0.80054302624558271</v>
      </c>
      <c r="H12" s="2">
        <v>3</v>
      </c>
      <c r="I12" s="2">
        <v>5.5396237348101627</v>
      </c>
      <c r="J12" s="2">
        <v>33</v>
      </c>
      <c r="K12" s="2">
        <v>0.61</v>
      </c>
      <c r="L12" s="2">
        <v>5</v>
      </c>
      <c r="M12" s="2">
        <v>10</v>
      </c>
      <c r="N12" s="2">
        <v>0</v>
      </c>
      <c r="O12" s="2">
        <v>9510.68</v>
      </c>
      <c r="P12" s="6">
        <v>117</v>
      </c>
      <c r="Q12" s="6">
        <v>3</v>
      </c>
      <c r="R12" s="10">
        <v>0.85486439999999997</v>
      </c>
    </row>
    <row r="13" spans="1:18" x14ac:dyDescent="0.2">
      <c r="A13" s="2" t="s">
        <v>34</v>
      </c>
      <c r="B13" s="2" t="s">
        <v>33</v>
      </c>
      <c r="C13" s="2" t="s">
        <v>16</v>
      </c>
      <c r="D13" s="2" t="s">
        <v>19</v>
      </c>
      <c r="E13" s="2">
        <v>3</v>
      </c>
      <c r="F13" s="2">
        <v>3.9705882352941182</v>
      </c>
      <c r="G13" s="2">
        <v>0.54664306104521054</v>
      </c>
      <c r="H13" s="2">
        <v>3</v>
      </c>
      <c r="I13" s="2">
        <v>5.0419889473414603</v>
      </c>
      <c r="J13" s="2">
        <v>33</v>
      </c>
      <c r="K13" s="2">
        <v>1.23</v>
      </c>
      <c r="L13" s="2">
        <v>20</v>
      </c>
      <c r="M13" s="2">
        <v>40</v>
      </c>
      <c r="N13" s="2">
        <v>0</v>
      </c>
      <c r="O13" s="2">
        <v>8637.52</v>
      </c>
      <c r="P13" s="6">
        <v>27.7</v>
      </c>
      <c r="Q13" s="6">
        <v>7</v>
      </c>
      <c r="R13" s="10">
        <v>0.91375214000000005</v>
      </c>
    </row>
    <row r="14" spans="1:18" x14ac:dyDescent="0.2">
      <c r="A14" s="2" t="s">
        <v>35</v>
      </c>
      <c r="B14" s="2" t="s">
        <v>33</v>
      </c>
      <c r="C14" s="2" t="s">
        <v>21</v>
      </c>
      <c r="D14" s="2" t="s">
        <v>17</v>
      </c>
      <c r="E14" s="2">
        <v>1</v>
      </c>
      <c r="F14" s="2">
        <v>1</v>
      </c>
      <c r="G14" s="2">
        <v>0</v>
      </c>
      <c r="H14" s="2">
        <v>1</v>
      </c>
      <c r="I14" s="2">
        <v>1</v>
      </c>
      <c r="J14" s="2">
        <v>31</v>
      </c>
      <c r="K14" s="2">
        <v>0.48</v>
      </c>
      <c r="L14" s="2">
        <v>30</v>
      </c>
      <c r="M14" s="2">
        <v>10</v>
      </c>
      <c r="N14" s="2">
        <v>0</v>
      </c>
      <c r="O14" s="2">
        <v>9010.94</v>
      </c>
      <c r="P14" s="6">
        <v>157.4</v>
      </c>
      <c r="Q14" s="6">
        <v>3</v>
      </c>
      <c r="R14" s="10">
        <v>0.90984770000000004</v>
      </c>
    </row>
    <row r="15" spans="1:18" x14ac:dyDescent="0.2">
      <c r="A15" s="2" t="s">
        <v>36</v>
      </c>
      <c r="B15" s="2" t="s">
        <v>33</v>
      </c>
      <c r="C15" s="2" t="s">
        <v>21</v>
      </c>
      <c r="D15" s="2" t="s">
        <v>19</v>
      </c>
      <c r="E15" s="2">
        <v>1</v>
      </c>
      <c r="F15" s="2">
        <v>1</v>
      </c>
      <c r="G15" s="2">
        <v>0</v>
      </c>
      <c r="H15" s="2">
        <v>1</v>
      </c>
      <c r="I15" s="2">
        <v>1</v>
      </c>
      <c r="J15" s="2">
        <v>31</v>
      </c>
      <c r="K15" s="2">
        <v>0.48</v>
      </c>
      <c r="L15" s="3">
        <v>40</v>
      </c>
      <c r="M15" s="3">
        <v>65</v>
      </c>
      <c r="N15" s="2">
        <v>0</v>
      </c>
      <c r="O15" s="2">
        <v>8550.3799999999992</v>
      </c>
      <c r="P15" s="7">
        <v>16</v>
      </c>
      <c r="Q15" s="7">
        <v>4</v>
      </c>
      <c r="R15" s="10">
        <v>0.89918569999999998</v>
      </c>
    </row>
    <row r="16" spans="1:18" x14ac:dyDescent="0.2">
      <c r="A16" s="2" t="s">
        <v>37</v>
      </c>
      <c r="B16" s="2" t="s">
        <v>33</v>
      </c>
      <c r="C16" s="2" t="s">
        <v>24</v>
      </c>
      <c r="D16" s="2" t="s">
        <v>17</v>
      </c>
      <c r="E16" s="2">
        <v>3</v>
      </c>
      <c r="F16" s="2">
        <v>3.967741935483871</v>
      </c>
      <c r="G16" s="2">
        <v>0.54745824389191766</v>
      </c>
      <c r="H16" s="2">
        <v>3</v>
      </c>
      <c r="I16" s="2">
        <v>5.0407403765515744</v>
      </c>
      <c r="J16" s="2">
        <v>30</v>
      </c>
      <c r="K16" s="2">
        <v>0.33</v>
      </c>
      <c r="L16" s="2">
        <v>20</v>
      </c>
      <c r="M16" s="2">
        <v>45</v>
      </c>
      <c r="N16" s="2">
        <v>0</v>
      </c>
      <c r="O16" s="2">
        <v>5628.29</v>
      </c>
      <c r="P16" s="7">
        <v>110.3</v>
      </c>
      <c r="Q16" s="7">
        <v>3</v>
      </c>
      <c r="R16" s="10">
        <v>0.90957093</v>
      </c>
    </row>
    <row r="17" spans="1:18" x14ac:dyDescent="0.2">
      <c r="A17" s="2" t="s">
        <v>38</v>
      </c>
      <c r="B17" s="2" t="s">
        <v>33</v>
      </c>
      <c r="C17" s="2" t="s">
        <v>24</v>
      </c>
      <c r="D17" s="2" t="s">
        <v>19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30</v>
      </c>
      <c r="K17" s="2">
        <v>4.67</v>
      </c>
      <c r="L17" s="2">
        <v>0</v>
      </c>
      <c r="M17" s="2">
        <v>0</v>
      </c>
      <c r="N17" s="2">
        <v>1</v>
      </c>
      <c r="O17" s="2">
        <v>5129.76</v>
      </c>
      <c r="P17" s="7">
        <v>5</v>
      </c>
      <c r="Q17" s="7">
        <v>4</v>
      </c>
      <c r="R17" s="10">
        <v>0.46172195999999999</v>
      </c>
    </row>
    <row r="18" spans="1:18" x14ac:dyDescent="0.2">
      <c r="A18" s="2" t="s">
        <v>39</v>
      </c>
      <c r="B18" s="2" t="s">
        <v>33</v>
      </c>
      <c r="C18" s="2" t="s">
        <v>27</v>
      </c>
      <c r="D18" s="2" t="s">
        <v>17</v>
      </c>
      <c r="E18" s="2">
        <v>4</v>
      </c>
      <c r="F18" s="2">
        <v>6.8636363636363633</v>
      </c>
      <c r="G18" s="2">
        <v>2.1602937873692221</v>
      </c>
      <c r="H18" s="2">
        <v>4</v>
      </c>
      <c r="I18" s="2">
        <v>11.097734382905671</v>
      </c>
      <c r="J18" s="2">
        <v>21</v>
      </c>
      <c r="K18" s="2">
        <v>2.38</v>
      </c>
      <c r="L18" s="2">
        <v>95</v>
      </c>
      <c r="M18" s="2">
        <v>80</v>
      </c>
      <c r="N18" s="2">
        <v>0</v>
      </c>
      <c r="O18" s="2">
        <v>6425.73</v>
      </c>
      <c r="P18" s="7">
        <v>184</v>
      </c>
      <c r="Q18" s="7">
        <v>3</v>
      </c>
      <c r="R18" s="10">
        <v>0.85292000000000001</v>
      </c>
    </row>
    <row r="19" spans="1:18" x14ac:dyDescent="0.2">
      <c r="A19" s="2" t="s">
        <v>40</v>
      </c>
      <c r="B19" s="2" t="s">
        <v>33</v>
      </c>
      <c r="C19" s="2" t="s">
        <v>27</v>
      </c>
      <c r="D19" s="2" t="s">
        <v>19</v>
      </c>
      <c r="E19" s="2">
        <v>5</v>
      </c>
      <c r="F19" s="2">
        <v>5.2416666666666663</v>
      </c>
      <c r="G19" s="2">
        <v>2.315075385165918</v>
      </c>
      <c r="H19" s="2">
        <v>5</v>
      </c>
      <c r="I19" s="2">
        <v>9.7791310430870571</v>
      </c>
      <c r="J19" s="2">
        <v>29</v>
      </c>
      <c r="K19" s="2">
        <v>0</v>
      </c>
      <c r="L19" s="2">
        <v>10</v>
      </c>
      <c r="M19" s="2">
        <v>5</v>
      </c>
      <c r="N19" s="2">
        <v>0</v>
      </c>
      <c r="O19" s="2">
        <v>5814.41</v>
      </c>
      <c r="P19" s="7">
        <v>5.4</v>
      </c>
      <c r="Q19" s="7">
        <v>3</v>
      </c>
      <c r="R19" s="10">
        <v>0.58195490000000005</v>
      </c>
    </row>
    <row r="20" spans="1:18" x14ac:dyDescent="0.2">
      <c r="A20" s="2" t="s">
        <v>41</v>
      </c>
      <c r="B20" s="2" t="s">
        <v>33</v>
      </c>
      <c r="C20" s="2" t="s">
        <v>30</v>
      </c>
      <c r="D20" s="2" t="s">
        <v>17</v>
      </c>
      <c r="E20" s="2">
        <v>2</v>
      </c>
      <c r="F20" s="2">
        <v>2</v>
      </c>
      <c r="G20" s="2">
        <v>0.2876234912646613</v>
      </c>
      <c r="H20" s="2">
        <v>2</v>
      </c>
      <c r="I20" s="2">
        <v>2.5637316839864068</v>
      </c>
      <c r="J20" s="2">
        <v>30</v>
      </c>
      <c r="K20" s="2">
        <v>0</v>
      </c>
      <c r="L20" s="2">
        <v>20</v>
      </c>
      <c r="M20" s="2">
        <v>15</v>
      </c>
      <c r="N20" s="2">
        <v>1</v>
      </c>
      <c r="O20" s="2">
        <v>907.19</v>
      </c>
      <c r="P20" s="7">
        <v>82</v>
      </c>
      <c r="Q20" s="7">
        <v>1</v>
      </c>
      <c r="R20" s="10">
        <v>0.74914440000000004</v>
      </c>
    </row>
    <row r="21" spans="1:18" x14ac:dyDescent="0.2">
      <c r="A21" s="2" t="s">
        <v>42</v>
      </c>
      <c r="B21" s="2" t="s">
        <v>33</v>
      </c>
      <c r="C21" s="2" t="s">
        <v>30</v>
      </c>
      <c r="D21" s="2" t="s">
        <v>19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30</v>
      </c>
      <c r="K21" s="2">
        <v>0</v>
      </c>
      <c r="L21" s="2">
        <v>75</v>
      </c>
      <c r="M21" s="2">
        <v>50</v>
      </c>
      <c r="N21" s="2">
        <v>1</v>
      </c>
      <c r="O21" s="2">
        <v>576.36</v>
      </c>
      <c r="P21" s="7">
        <v>20.9</v>
      </c>
      <c r="Q21" s="7">
        <v>1</v>
      </c>
      <c r="R21" s="10">
        <v>0.79863220000000001</v>
      </c>
    </row>
    <row r="22" spans="1:18" x14ac:dyDescent="0.2">
      <c r="A22" s="2" t="s">
        <v>43</v>
      </c>
      <c r="B22" s="2" t="s">
        <v>44</v>
      </c>
      <c r="C22" s="2" t="s">
        <v>16</v>
      </c>
      <c r="D22" s="2" t="s">
        <v>17</v>
      </c>
      <c r="E22" s="2">
        <v>11</v>
      </c>
      <c r="F22" s="2">
        <v>16.920833333333331</v>
      </c>
      <c r="G22" s="2">
        <v>9.5206974721259598</v>
      </c>
      <c r="H22" s="2">
        <v>11</v>
      </c>
      <c r="I22" s="2">
        <v>35.581057486401747</v>
      </c>
      <c r="J22" s="2">
        <v>30</v>
      </c>
      <c r="K22" s="2">
        <v>0.61</v>
      </c>
      <c r="L22" s="2">
        <v>5</v>
      </c>
      <c r="M22" s="2">
        <v>10</v>
      </c>
      <c r="N22" s="2">
        <v>0</v>
      </c>
      <c r="O22" s="2">
        <v>9510.68</v>
      </c>
      <c r="P22" s="6">
        <v>117</v>
      </c>
      <c r="Q22" s="6">
        <v>3</v>
      </c>
      <c r="R22" s="10">
        <v>0.85486439999999997</v>
      </c>
    </row>
    <row r="23" spans="1:18" x14ac:dyDescent="0.2">
      <c r="A23" s="2" t="s">
        <v>45</v>
      </c>
      <c r="B23" s="2" t="s">
        <v>44</v>
      </c>
      <c r="C23" s="2" t="s">
        <v>16</v>
      </c>
      <c r="D23" s="2" t="s">
        <v>19</v>
      </c>
      <c r="E23" s="2">
        <v>7</v>
      </c>
      <c r="F23" s="2">
        <v>10.866666666666671</v>
      </c>
      <c r="G23" s="2">
        <v>5.2469823653373204</v>
      </c>
      <c r="H23" s="2">
        <v>7</v>
      </c>
      <c r="I23" s="2">
        <v>21.150563130244599</v>
      </c>
      <c r="J23" s="2">
        <v>30</v>
      </c>
      <c r="K23" s="2">
        <v>1.23</v>
      </c>
      <c r="L23" s="2">
        <v>20</v>
      </c>
      <c r="M23" s="2">
        <v>40</v>
      </c>
      <c r="N23" s="2">
        <v>0</v>
      </c>
      <c r="O23" s="2">
        <v>8637.52</v>
      </c>
      <c r="P23" s="6">
        <v>27.7</v>
      </c>
      <c r="Q23" s="6">
        <v>7</v>
      </c>
      <c r="R23" s="10">
        <v>0.91375214000000005</v>
      </c>
    </row>
    <row r="24" spans="1:18" x14ac:dyDescent="0.2">
      <c r="A24" s="2" t="s">
        <v>46</v>
      </c>
      <c r="B24" s="2" t="s">
        <v>44</v>
      </c>
      <c r="C24" s="2" t="s">
        <v>21</v>
      </c>
      <c r="D24" s="2" t="s">
        <v>17</v>
      </c>
      <c r="E24" s="2">
        <v>6</v>
      </c>
      <c r="F24" s="2">
        <v>18.083333333333339</v>
      </c>
      <c r="G24" s="2">
        <v>9.8622115743022505</v>
      </c>
      <c r="H24" s="2">
        <v>6</v>
      </c>
      <c r="I24" s="2">
        <v>37.412912826879811</v>
      </c>
      <c r="J24" s="2">
        <v>30</v>
      </c>
      <c r="K24" s="2">
        <v>0.48</v>
      </c>
      <c r="L24" s="2">
        <v>30</v>
      </c>
      <c r="M24" s="2">
        <v>10</v>
      </c>
      <c r="N24" s="2">
        <v>0</v>
      </c>
      <c r="O24" s="2">
        <v>9010.94</v>
      </c>
      <c r="P24" s="6">
        <v>157.4</v>
      </c>
      <c r="Q24" s="6">
        <v>3</v>
      </c>
      <c r="R24" s="10">
        <v>0.90984770000000004</v>
      </c>
    </row>
    <row r="25" spans="1:18" x14ac:dyDescent="0.2">
      <c r="A25" s="2" t="s">
        <v>47</v>
      </c>
      <c r="B25" s="2" t="s">
        <v>44</v>
      </c>
      <c r="C25" s="2" t="s">
        <v>21</v>
      </c>
      <c r="D25" s="2" t="s">
        <v>19</v>
      </c>
      <c r="E25" s="2">
        <v>7</v>
      </c>
      <c r="F25" s="2">
        <v>10.866666666666671</v>
      </c>
      <c r="G25" s="2">
        <v>5.2355000640430553</v>
      </c>
      <c r="H25" s="2">
        <v>7</v>
      </c>
      <c r="I25" s="2">
        <v>21.128058233248201</v>
      </c>
      <c r="J25" s="2">
        <v>30</v>
      </c>
      <c r="K25" s="2">
        <v>0.48</v>
      </c>
      <c r="L25" s="3">
        <v>40</v>
      </c>
      <c r="M25" s="3">
        <v>65</v>
      </c>
      <c r="N25" s="2">
        <v>0</v>
      </c>
      <c r="O25" s="2">
        <v>8550.3799999999992</v>
      </c>
      <c r="P25" s="7">
        <v>16</v>
      </c>
      <c r="Q25" s="7">
        <v>4</v>
      </c>
      <c r="R25" s="10">
        <v>0.89918569999999998</v>
      </c>
    </row>
    <row r="26" spans="1:18" x14ac:dyDescent="0.2">
      <c r="A26" s="2" t="s">
        <v>48</v>
      </c>
      <c r="B26" s="2" t="s">
        <v>44</v>
      </c>
      <c r="C26" s="2" t="s">
        <v>24</v>
      </c>
      <c r="D26" s="2" t="s">
        <v>17</v>
      </c>
      <c r="E26" s="2">
        <v>6</v>
      </c>
      <c r="F26" s="2">
        <v>9.8666666666666671</v>
      </c>
      <c r="G26" s="2">
        <v>4.89424021390872</v>
      </c>
      <c r="H26" s="2">
        <v>6</v>
      </c>
      <c r="I26" s="2">
        <v>19.459201217615369</v>
      </c>
      <c r="J26" s="2">
        <v>30</v>
      </c>
      <c r="K26" s="2">
        <v>0.33</v>
      </c>
      <c r="L26" s="2">
        <v>20</v>
      </c>
      <c r="M26" s="2">
        <v>45</v>
      </c>
      <c r="N26" s="2">
        <v>0</v>
      </c>
      <c r="O26" s="2">
        <v>5628.29</v>
      </c>
      <c r="P26" s="7">
        <v>110.3</v>
      </c>
      <c r="Q26" s="7">
        <v>3</v>
      </c>
      <c r="R26" s="10">
        <v>0.90957093</v>
      </c>
    </row>
    <row r="27" spans="1:18" x14ac:dyDescent="0.2">
      <c r="A27" s="2" t="s">
        <v>49</v>
      </c>
      <c r="B27" s="2" t="s">
        <v>44</v>
      </c>
      <c r="C27" s="2" t="s">
        <v>24</v>
      </c>
      <c r="D27" s="2" t="s">
        <v>19</v>
      </c>
      <c r="E27" s="2">
        <v>12</v>
      </c>
      <c r="F27" s="2">
        <v>31.574999999999999</v>
      </c>
      <c r="G27" s="2">
        <v>17.977104512462031</v>
      </c>
      <c r="H27" s="2">
        <v>12</v>
      </c>
      <c r="I27" s="2">
        <v>66.809477390738053</v>
      </c>
      <c r="J27" s="2">
        <v>30</v>
      </c>
      <c r="K27" s="2">
        <v>4.67</v>
      </c>
      <c r="L27" s="2">
        <v>0</v>
      </c>
      <c r="M27" s="2">
        <v>0</v>
      </c>
      <c r="N27" s="2">
        <v>1</v>
      </c>
      <c r="O27" s="2">
        <v>5129.76</v>
      </c>
      <c r="P27" s="7">
        <v>5</v>
      </c>
      <c r="Q27" s="7">
        <v>4</v>
      </c>
      <c r="R27" s="10">
        <v>0.46172195999999999</v>
      </c>
    </row>
    <row r="28" spans="1:18" x14ac:dyDescent="0.2">
      <c r="A28" s="2" t="s">
        <v>50</v>
      </c>
      <c r="B28" s="2" t="s">
        <v>44</v>
      </c>
      <c r="C28" s="2" t="s">
        <v>27</v>
      </c>
      <c r="D28" s="2" t="s">
        <v>17</v>
      </c>
      <c r="E28" s="2">
        <v>12</v>
      </c>
      <c r="F28" s="2">
        <v>13.54666666666667</v>
      </c>
      <c r="G28" s="2">
        <v>5.2313310141472842</v>
      </c>
      <c r="H28" s="2">
        <v>12</v>
      </c>
      <c r="I28" s="2">
        <v>23.799887045602741</v>
      </c>
      <c r="J28" s="2">
        <v>30</v>
      </c>
      <c r="K28" s="2">
        <v>2.38</v>
      </c>
      <c r="L28" s="2">
        <v>95</v>
      </c>
      <c r="M28" s="2">
        <v>80</v>
      </c>
      <c r="N28" s="2">
        <v>0</v>
      </c>
      <c r="O28" s="2">
        <v>6425.73</v>
      </c>
      <c r="P28" s="7">
        <v>184</v>
      </c>
      <c r="Q28" s="7">
        <v>3</v>
      </c>
      <c r="R28" s="10">
        <v>0.85292000000000001</v>
      </c>
    </row>
    <row r="29" spans="1:18" x14ac:dyDescent="0.2">
      <c r="A29" s="2" t="s">
        <v>51</v>
      </c>
      <c r="B29" s="2" t="s">
        <v>44</v>
      </c>
      <c r="C29" s="2" t="s">
        <v>27</v>
      </c>
      <c r="D29" s="2" t="s">
        <v>19</v>
      </c>
      <c r="E29" s="2">
        <v>6</v>
      </c>
      <c r="F29" s="2">
        <v>18.083333333333339</v>
      </c>
      <c r="G29" s="2">
        <v>9.1845022331136459</v>
      </c>
      <c r="H29" s="2">
        <v>6</v>
      </c>
      <c r="I29" s="2">
        <v>36.084626926163779</v>
      </c>
      <c r="J29" s="2">
        <v>30</v>
      </c>
      <c r="K29" s="2">
        <v>0</v>
      </c>
      <c r="L29" s="2">
        <v>10</v>
      </c>
      <c r="M29" s="2">
        <v>5</v>
      </c>
      <c r="N29" s="2">
        <v>0</v>
      </c>
      <c r="O29" s="2">
        <v>5814.41</v>
      </c>
      <c r="P29" s="7">
        <v>5.4</v>
      </c>
      <c r="Q29" s="7">
        <v>3</v>
      </c>
      <c r="R29" s="10">
        <v>0.58195490000000005</v>
      </c>
    </row>
    <row r="30" spans="1:18" x14ac:dyDescent="0.2">
      <c r="A30" s="2" t="s">
        <v>52</v>
      </c>
      <c r="B30" s="2" t="s">
        <v>44</v>
      </c>
      <c r="C30" s="2" t="s">
        <v>30</v>
      </c>
      <c r="D30" s="2" t="s">
        <v>17</v>
      </c>
      <c r="E30" s="2">
        <v>7</v>
      </c>
      <c r="F30" s="2">
        <v>24.4</v>
      </c>
      <c r="G30" s="2">
        <v>10.37993465485307</v>
      </c>
      <c r="H30" s="2">
        <v>7</v>
      </c>
      <c r="I30" s="2">
        <v>44.744298085391208</v>
      </c>
      <c r="J30" s="2">
        <v>30</v>
      </c>
      <c r="K30" s="2">
        <v>0</v>
      </c>
      <c r="L30" s="2">
        <v>20</v>
      </c>
      <c r="M30" s="2">
        <v>15</v>
      </c>
      <c r="N30" s="2">
        <v>1</v>
      </c>
      <c r="O30" s="2">
        <v>907.19</v>
      </c>
      <c r="P30" s="7">
        <v>82</v>
      </c>
      <c r="Q30" s="7">
        <v>1</v>
      </c>
      <c r="R30" s="10">
        <v>0.74914440000000004</v>
      </c>
    </row>
    <row r="31" spans="1:18" x14ac:dyDescent="0.2">
      <c r="A31" s="2" t="s">
        <v>53</v>
      </c>
      <c r="B31" s="2" t="s">
        <v>44</v>
      </c>
      <c r="C31" s="2" t="s">
        <v>30</v>
      </c>
      <c r="D31" s="2" t="s">
        <v>19</v>
      </c>
      <c r="E31" s="2">
        <v>11</v>
      </c>
      <c r="F31" s="2">
        <v>59.333333333333343</v>
      </c>
      <c r="G31" s="2">
        <v>24.662154062450089</v>
      </c>
      <c r="H31" s="2">
        <v>11</v>
      </c>
      <c r="I31" s="2">
        <v>107.6702670769137</v>
      </c>
      <c r="J31" s="2">
        <v>30</v>
      </c>
      <c r="K31" s="2">
        <v>0</v>
      </c>
      <c r="L31" s="2">
        <v>75</v>
      </c>
      <c r="M31" s="2">
        <v>50</v>
      </c>
      <c r="N31" s="2">
        <v>1</v>
      </c>
      <c r="O31" s="2">
        <v>576.36</v>
      </c>
      <c r="P31" s="7">
        <v>20.9</v>
      </c>
      <c r="Q31" s="7">
        <v>1</v>
      </c>
      <c r="R31" s="10">
        <v>0.79863220000000001</v>
      </c>
    </row>
    <row r="33" spans="18:18" x14ac:dyDescent="0.2">
      <c r="R33">
        <f>MIN(R2:R31)</f>
        <v>0.46172195999999999</v>
      </c>
    </row>
    <row r="34" spans="18:18" x14ac:dyDescent="0.2">
      <c r="R34">
        <f>MAX(R2:R31)</f>
        <v>0.91375214000000005</v>
      </c>
    </row>
  </sheetData>
  <pageMargins left="0.7" right="0.7" top="0.75" bottom="0.75" header="0.3" footer="0.3"/>
  <pageSetup scale="52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2C72-AFB9-F14A-86DB-F6F6BA605C69}">
  <dimension ref="A1:S31"/>
  <sheetViews>
    <sheetView workbookViewId="0">
      <selection activeCell="G36" sqref="G36"/>
    </sheetView>
  </sheetViews>
  <sheetFormatPr baseColWidth="10" defaultRowHeight="16" x14ac:dyDescent="0.2"/>
  <cols>
    <col min="16" max="16" width="14.33203125" customWidth="1"/>
    <col min="17" max="17" width="16.5" customWidth="1"/>
    <col min="18" max="18" width="13.1640625" customWidth="1"/>
  </cols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57</v>
      </c>
      <c r="O1" s="4" t="s">
        <v>54</v>
      </c>
      <c r="P1" s="8" t="s">
        <v>56</v>
      </c>
      <c r="Q1" s="1" t="s">
        <v>55</v>
      </c>
      <c r="R1" s="8" t="s">
        <v>58</v>
      </c>
      <c r="S1" s="8" t="s">
        <v>59</v>
      </c>
    </row>
    <row r="2" spans="1:19" x14ac:dyDescent="0.2">
      <c r="A2" s="2" t="s">
        <v>14</v>
      </c>
      <c r="B2" s="2" t="s">
        <v>15</v>
      </c>
      <c r="C2" s="2" t="s">
        <v>66</v>
      </c>
      <c r="D2" s="2" t="s">
        <v>17</v>
      </c>
      <c r="E2">
        <v>1</v>
      </c>
      <c r="F2">
        <v>1</v>
      </c>
      <c r="G2">
        <v>0</v>
      </c>
      <c r="H2">
        <v>1</v>
      </c>
      <c r="I2">
        <v>1</v>
      </c>
      <c r="J2" s="2">
        <v>33</v>
      </c>
      <c r="K2" s="2">
        <v>0.61</v>
      </c>
      <c r="L2" s="2">
        <v>5</v>
      </c>
      <c r="M2" s="2">
        <v>10</v>
      </c>
      <c r="N2" s="2">
        <v>0</v>
      </c>
      <c r="O2" s="2">
        <v>9510.68</v>
      </c>
      <c r="P2" s="6">
        <v>117</v>
      </c>
      <c r="Q2" s="6">
        <v>3</v>
      </c>
      <c r="R2" s="6">
        <v>1</v>
      </c>
      <c r="S2" s="10">
        <v>0.91600000000000004</v>
      </c>
    </row>
    <row r="3" spans="1:19" x14ac:dyDescent="0.2">
      <c r="A3" s="2" t="s">
        <v>18</v>
      </c>
      <c r="B3" s="2" t="s">
        <v>15</v>
      </c>
      <c r="C3" s="2" t="s">
        <v>66</v>
      </c>
      <c r="D3" s="2" t="s">
        <v>19</v>
      </c>
      <c r="E3">
        <v>5</v>
      </c>
      <c r="F3">
        <v>7.903225806451613</v>
      </c>
      <c r="G3">
        <v>1.7679868923853881</v>
      </c>
      <c r="H3">
        <v>5</v>
      </c>
      <c r="I3">
        <v>11.368416440665859</v>
      </c>
      <c r="J3" s="2">
        <v>21</v>
      </c>
      <c r="K3" s="2">
        <v>1.23</v>
      </c>
      <c r="L3" s="2">
        <v>20</v>
      </c>
      <c r="M3" s="2">
        <v>40</v>
      </c>
      <c r="N3" s="2">
        <v>0</v>
      </c>
      <c r="O3" s="2">
        <v>8637.52</v>
      </c>
      <c r="P3" s="6">
        <v>27.7</v>
      </c>
      <c r="Q3" s="6">
        <v>7</v>
      </c>
      <c r="R3" s="6">
        <v>1</v>
      </c>
      <c r="S3" s="10">
        <v>0.92700000000000005</v>
      </c>
    </row>
    <row r="4" spans="1:19" x14ac:dyDescent="0.2">
      <c r="A4" s="2" t="s">
        <v>20</v>
      </c>
      <c r="B4" s="2" t="s">
        <v>15</v>
      </c>
      <c r="C4" s="2" t="s">
        <v>67</v>
      </c>
      <c r="D4" s="2" t="s">
        <v>17</v>
      </c>
      <c r="E4">
        <v>2</v>
      </c>
      <c r="F4">
        <v>2</v>
      </c>
      <c r="G4">
        <v>0.45604802157206847</v>
      </c>
      <c r="H4">
        <v>2</v>
      </c>
      <c r="I4">
        <v>2.8938376975020002</v>
      </c>
      <c r="J4" s="2">
        <v>19</v>
      </c>
      <c r="K4" s="2">
        <v>0.48</v>
      </c>
      <c r="L4" s="2">
        <v>30</v>
      </c>
      <c r="M4" s="2">
        <v>10</v>
      </c>
      <c r="N4" s="2">
        <v>0</v>
      </c>
      <c r="O4" s="2">
        <v>9010.94</v>
      </c>
      <c r="P4" s="6">
        <v>157.4</v>
      </c>
      <c r="Q4" s="6">
        <v>3</v>
      </c>
      <c r="R4" s="6">
        <v>1</v>
      </c>
      <c r="S4" s="10">
        <v>0.92300000000000004</v>
      </c>
    </row>
    <row r="5" spans="1:19" x14ac:dyDescent="0.2">
      <c r="A5" s="2" t="s">
        <v>22</v>
      </c>
      <c r="B5" s="2" t="s">
        <v>15</v>
      </c>
      <c r="C5" s="2" t="s">
        <v>67</v>
      </c>
      <c r="D5" s="2" t="s">
        <v>19</v>
      </c>
      <c r="E5">
        <v>4</v>
      </c>
      <c r="F5">
        <v>4</v>
      </c>
      <c r="G5">
        <v>0.47264097780165648</v>
      </c>
      <c r="H5">
        <v>4</v>
      </c>
      <c r="I5">
        <v>4.9263592941090417</v>
      </c>
      <c r="J5" s="2">
        <v>31</v>
      </c>
      <c r="K5" s="2">
        <v>0.48</v>
      </c>
      <c r="L5" s="2">
        <v>40</v>
      </c>
      <c r="M5" s="2">
        <v>65</v>
      </c>
      <c r="N5" s="2">
        <v>0</v>
      </c>
      <c r="O5" s="2">
        <v>8550.3799999999992</v>
      </c>
      <c r="P5" s="7">
        <v>16</v>
      </c>
      <c r="Q5" s="7">
        <v>4</v>
      </c>
      <c r="R5" s="7">
        <v>1</v>
      </c>
      <c r="S5" s="10">
        <v>0.91100000000000003</v>
      </c>
    </row>
    <row r="6" spans="1:19" x14ac:dyDescent="0.2">
      <c r="A6" s="2" t="s">
        <v>23</v>
      </c>
      <c r="B6" s="2" t="s">
        <v>15</v>
      </c>
      <c r="C6" s="2" t="s">
        <v>68</v>
      </c>
      <c r="D6" s="2" t="s">
        <v>17</v>
      </c>
      <c r="E6">
        <v>1</v>
      </c>
      <c r="F6">
        <v>1</v>
      </c>
      <c r="G6">
        <v>0</v>
      </c>
      <c r="H6">
        <v>1</v>
      </c>
      <c r="I6">
        <v>1</v>
      </c>
      <c r="J6" s="2">
        <v>30</v>
      </c>
      <c r="K6" s="2">
        <v>0.33</v>
      </c>
      <c r="L6" s="2">
        <v>20</v>
      </c>
      <c r="M6" s="2">
        <v>45</v>
      </c>
      <c r="N6" s="2">
        <v>1</v>
      </c>
      <c r="O6" s="2">
        <v>5628.29</v>
      </c>
      <c r="P6" s="7">
        <v>110.3</v>
      </c>
      <c r="Q6" s="7">
        <v>3</v>
      </c>
      <c r="R6" s="7">
        <v>1</v>
      </c>
      <c r="S6" s="10">
        <v>0.92800000000000005</v>
      </c>
    </row>
    <row r="7" spans="1:19" x14ac:dyDescent="0.2">
      <c r="A7" s="2" t="s">
        <v>25</v>
      </c>
      <c r="B7" s="2" t="s">
        <v>15</v>
      </c>
      <c r="C7" s="2" t="s">
        <v>68</v>
      </c>
      <c r="D7" s="2" t="s">
        <v>19</v>
      </c>
      <c r="E7">
        <v>3</v>
      </c>
      <c r="F7">
        <v>3.2</v>
      </c>
      <c r="G7">
        <v>1.75606999239262</v>
      </c>
      <c r="H7">
        <v>3</v>
      </c>
      <c r="I7">
        <v>6.6418339394210602</v>
      </c>
      <c r="J7" s="2">
        <v>30</v>
      </c>
      <c r="K7" s="2">
        <v>4.67</v>
      </c>
      <c r="L7" s="2">
        <v>0</v>
      </c>
      <c r="M7" s="2">
        <v>0</v>
      </c>
      <c r="N7" s="2">
        <v>5</v>
      </c>
      <c r="O7" s="2">
        <v>5129.76</v>
      </c>
      <c r="P7" s="7">
        <v>5</v>
      </c>
      <c r="Q7" s="7">
        <v>4</v>
      </c>
      <c r="R7" s="7">
        <v>0</v>
      </c>
      <c r="S7" s="10">
        <v>0.496</v>
      </c>
    </row>
    <row r="8" spans="1:19" x14ac:dyDescent="0.2">
      <c r="A8" s="2" t="s">
        <v>26</v>
      </c>
      <c r="B8" s="2" t="s">
        <v>15</v>
      </c>
      <c r="C8" s="2" t="s">
        <v>69</v>
      </c>
      <c r="D8" s="2" t="s">
        <v>17</v>
      </c>
      <c r="E8">
        <v>5</v>
      </c>
      <c r="F8">
        <v>6.935483870967742</v>
      </c>
      <c r="G8">
        <v>2.328560753520883</v>
      </c>
      <c r="H8">
        <v>5</v>
      </c>
      <c r="I8">
        <v>11.49937908368212</v>
      </c>
      <c r="J8" s="2">
        <v>21</v>
      </c>
      <c r="K8" s="2">
        <v>2.38</v>
      </c>
      <c r="L8" s="2">
        <v>95</v>
      </c>
      <c r="M8" s="2">
        <v>80</v>
      </c>
      <c r="N8" s="2">
        <v>0</v>
      </c>
      <c r="O8" s="2">
        <v>6425.73</v>
      </c>
      <c r="P8" s="7">
        <v>184</v>
      </c>
      <c r="Q8" s="7">
        <v>3</v>
      </c>
      <c r="R8" s="7">
        <v>1</v>
      </c>
      <c r="S8" s="10">
        <v>0.78100000000000003</v>
      </c>
    </row>
    <row r="9" spans="1:19" x14ac:dyDescent="0.2">
      <c r="A9" s="2" t="s">
        <v>28</v>
      </c>
      <c r="B9" s="2" t="s">
        <v>15</v>
      </c>
      <c r="C9" s="2" t="s">
        <v>69</v>
      </c>
      <c r="D9" s="2" t="s">
        <v>19</v>
      </c>
      <c r="E9">
        <v>2</v>
      </c>
      <c r="F9">
        <v>2</v>
      </c>
      <c r="G9">
        <v>0.47258156262526058</v>
      </c>
      <c r="H9">
        <v>2</v>
      </c>
      <c r="I9">
        <v>2.926242842503171</v>
      </c>
      <c r="J9" s="2">
        <v>29</v>
      </c>
      <c r="K9" s="2">
        <v>0</v>
      </c>
      <c r="L9" s="2">
        <v>10</v>
      </c>
      <c r="M9" s="2">
        <v>5</v>
      </c>
      <c r="N9" s="2">
        <v>2</v>
      </c>
      <c r="O9" s="2">
        <v>5814.41</v>
      </c>
      <c r="P9" s="7">
        <v>5.4</v>
      </c>
      <c r="Q9" s="7">
        <v>3</v>
      </c>
      <c r="R9" s="7">
        <v>0</v>
      </c>
      <c r="S9" s="10">
        <v>0.57199999999999995</v>
      </c>
    </row>
    <row r="10" spans="1:19" x14ac:dyDescent="0.2">
      <c r="A10" s="2" t="s">
        <v>29</v>
      </c>
      <c r="B10" s="2" t="s">
        <v>15</v>
      </c>
      <c r="C10" s="2" t="s">
        <v>70</v>
      </c>
      <c r="D10" s="2" t="s">
        <v>17</v>
      </c>
      <c r="E10">
        <v>2</v>
      </c>
      <c r="F10">
        <v>2</v>
      </c>
      <c r="G10">
        <v>0.50090826596203331</v>
      </c>
      <c r="H10">
        <v>2</v>
      </c>
      <c r="I10">
        <v>2.9817621608439961</v>
      </c>
      <c r="J10" s="2">
        <v>30</v>
      </c>
      <c r="K10" s="2">
        <v>0</v>
      </c>
      <c r="L10" s="2">
        <v>20</v>
      </c>
      <c r="M10" s="2">
        <v>15</v>
      </c>
      <c r="N10" s="2">
        <v>6</v>
      </c>
      <c r="O10" s="2">
        <v>907.19</v>
      </c>
      <c r="P10" s="7">
        <v>82</v>
      </c>
      <c r="Q10" s="7">
        <v>1</v>
      </c>
      <c r="R10" s="7">
        <v>0</v>
      </c>
      <c r="S10" s="10">
        <v>0.79600000000000004</v>
      </c>
    </row>
    <row r="11" spans="1:19" x14ac:dyDescent="0.2">
      <c r="A11" s="2" t="s">
        <v>31</v>
      </c>
      <c r="B11" s="2" t="s">
        <v>15</v>
      </c>
      <c r="C11" s="2" t="s">
        <v>70</v>
      </c>
      <c r="D11" s="2" t="s">
        <v>19</v>
      </c>
      <c r="E11">
        <v>1</v>
      </c>
      <c r="F11">
        <v>1</v>
      </c>
      <c r="G11">
        <v>0</v>
      </c>
      <c r="H11">
        <v>1</v>
      </c>
      <c r="I11">
        <v>1</v>
      </c>
      <c r="J11" s="2">
        <v>30</v>
      </c>
      <c r="K11" s="2">
        <v>0</v>
      </c>
      <c r="L11" s="2">
        <v>75</v>
      </c>
      <c r="M11" s="2">
        <v>50</v>
      </c>
      <c r="N11" s="2">
        <v>11</v>
      </c>
      <c r="O11" s="2">
        <v>576.36</v>
      </c>
      <c r="P11" s="7">
        <v>20.9</v>
      </c>
      <c r="Q11" s="7">
        <v>1</v>
      </c>
      <c r="R11" s="7">
        <v>0</v>
      </c>
      <c r="S11" s="10">
        <v>0.80200000000000005</v>
      </c>
    </row>
    <row r="12" spans="1:19" x14ac:dyDescent="0.2">
      <c r="A12" s="2" t="s">
        <v>32</v>
      </c>
      <c r="B12" s="2" t="s">
        <v>33</v>
      </c>
      <c r="C12" s="2" t="s">
        <v>66</v>
      </c>
      <c r="D12" s="2" t="s">
        <v>17</v>
      </c>
      <c r="E12">
        <v>1</v>
      </c>
      <c r="F12">
        <v>1</v>
      </c>
      <c r="G12">
        <v>0</v>
      </c>
      <c r="H12">
        <v>1</v>
      </c>
      <c r="I12">
        <v>1</v>
      </c>
      <c r="J12" s="2">
        <v>33</v>
      </c>
      <c r="K12" s="2">
        <v>0.61</v>
      </c>
      <c r="L12" s="2">
        <v>5</v>
      </c>
      <c r="M12" s="2">
        <v>10</v>
      </c>
      <c r="N12" s="2">
        <v>0</v>
      </c>
      <c r="O12" s="2">
        <v>9510.68</v>
      </c>
      <c r="P12" s="6">
        <v>117</v>
      </c>
      <c r="Q12" s="6">
        <v>3</v>
      </c>
      <c r="R12" s="6">
        <v>1</v>
      </c>
      <c r="S12" s="10">
        <v>0.85486439999999997</v>
      </c>
    </row>
    <row r="13" spans="1:19" x14ac:dyDescent="0.2">
      <c r="A13" s="2" t="s">
        <v>34</v>
      </c>
      <c r="B13" s="2" t="s">
        <v>33</v>
      </c>
      <c r="C13" s="2" t="s">
        <v>66</v>
      </c>
      <c r="D13" s="2" t="s">
        <v>19</v>
      </c>
      <c r="E13">
        <v>4</v>
      </c>
      <c r="F13">
        <v>4.9886363636363633</v>
      </c>
      <c r="G13">
        <v>1.0735642204083611</v>
      </c>
      <c r="H13">
        <v>4</v>
      </c>
      <c r="I13">
        <v>7.0927835707275708</v>
      </c>
      <c r="J13" s="2">
        <v>33</v>
      </c>
      <c r="K13" s="2">
        <v>1.23</v>
      </c>
      <c r="L13" s="2">
        <v>20</v>
      </c>
      <c r="M13" s="2">
        <v>40</v>
      </c>
      <c r="N13" s="2">
        <v>0</v>
      </c>
      <c r="O13" s="2">
        <v>8637.52</v>
      </c>
      <c r="P13" s="6">
        <v>27.7</v>
      </c>
      <c r="Q13" s="6">
        <v>7</v>
      </c>
      <c r="R13" s="6">
        <v>1</v>
      </c>
      <c r="S13" s="10">
        <v>0.91375214000000005</v>
      </c>
    </row>
    <row r="14" spans="1:19" x14ac:dyDescent="0.2">
      <c r="A14" s="2" t="s">
        <v>35</v>
      </c>
      <c r="B14" s="2" t="s">
        <v>33</v>
      </c>
      <c r="C14" s="2" t="s">
        <v>67</v>
      </c>
      <c r="D14" s="2" t="s">
        <v>17</v>
      </c>
      <c r="E14">
        <v>1</v>
      </c>
      <c r="F14">
        <v>1</v>
      </c>
      <c r="G14">
        <v>0</v>
      </c>
      <c r="H14">
        <v>1</v>
      </c>
      <c r="I14">
        <v>1</v>
      </c>
      <c r="J14" s="2">
        <v>31</v>
      </c>
      <c r="K14" s="2">
        <v>0.48</v>
      </c>
      <c r="L14" s="2">
        <v>30</v>
      </c>
      <c r="M14" s="2">
        <v>10</v>
      </c>
      <c r="N14" s="2">
        <v>0</v>
      </c>
      <c r="O14" s="2">
        <v>9010.94</v>
      </c>
      <c r="P14" s="6">
        <v>157.4</v>
      </c>
      <c r="Q14" s="6">
        <v>3</v>
      </c>
      <c r="R14" s="6">
        <v>1</v>
      </c>
      <c r="S14" s="10">
        <v>0.90984770000000004</v>
      </c>
    </row>
    <row r="15" spans="1:19" x14ac:dyDescent="0.2">
      <c r="A15" s="2" t="s">
        <v>36</v>
      </c>
      <c r="B15" s="2" t="s">
        <v>33</v>
      </c>
      <c r="C15" s="2" t="s">
        <v>67</v>
      </c>
      <c r="D15" s="2" t="s">
        <v>19</v>
      </c>
      <c r="E15" s="2">
        <v>1</v>
      </c>
      <c r="F15" s="2">
        <v>1</v>
      </c>
      <c r="G15" s="2">
        <v>0</v>
      </c>
      <c r="H15" s="2">
        <v>1</v>
      </c>
      <c r="I15" s="2">
        <v>1</v>
      </c>
      <c r="J15" s="2">
        <v>31</v>
      </c>
      <c r="K15" s="2">
        <v>0.48</v>
      </c>
      <c r="L15" s="3">
        <v>40</v>
      </c>
      <c r="M15" s="3">
        <v>65</v>
      </c>
      <c r="N15" s="2">
        <v>0</v>
      </c>
      <c r="O15" s="2">
        <v>8550.3799999999992</v>
      </c>
      <c r="P15" s="7">
        <v>16</v>
      </c>
      <c r="Q15" s="7">
        <v>4</v>
      </c>
      <c r="R15" s="7">
        <v>1</v>
      </c>
      <c r="S15" s="10">
        <v>0.89918569999999998</v>
      </c>
    </row>
    <row r="16" spans="1:19" x14ac:dyDescent="0.2">
      <c r="A16" s="2" t="s">
        <v>37</v>
      </c>
      <c r="B16" s="2" t="s">
        <v>33</v>
      </c>
      <c r="C16" s="2" t="s">
        <v>68</v>
      </c>
      <c r="D16" s="2" t="s">
        <v>17</v>
      </c>
      <c r="E16">
        <v>3</v>
      </c>
      <c r="F16">
        <v>3.954545454545455</v>
      </c>
      <c r="G16">
        <v>0.76874938281194971</v>
      </c>
      <c r="H16">
        <v>3</v>
      </c>
      <c r="I16">
        <v>5.4612665579942714</v>
      </c>
      <c r="J16" s="2">
        <v>30</v>
      </c>
      <c r="K16" s="2">
        <v>0.33</v>
      </c>
      <c r="L16" s="2">
        <v>20</v>
      </c>
      <c r="M16" s="2">
        <v>45</v>
      </c>
      <c r="N16" s="2">
        <v>1</v>
      </c>
      <c r="O16" s="2">
        <v>5628.29</v>
      </c>
      <c r="P16" s="7">
        <v>110.3</v>
      </c>
      <c r="Q16" s="7">
        <v>3</v>
      </c>
      <c r="R16" s="7">
        <v>1</v>
      </c>
      <c r="S16" s="10">
        <v>0.46172195999999999</v>
      </c>
    </row>
    <row r="17" spans="1:19" x14ac:dyDescent="0.2">
      <c r="A17" s="2" t="s">
        <v>38</v>
      </c>
      <c r="B17" s="2" t="s">
        <v>33</v>
      </c>
      <c r="C17" s="2" t="s">
        <v>68</v>
      </c>
      <c r="D17" s="2" t="s">
        <v>19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30</v>
      </c>
      <c r="K17" s="2">
        <v>4.67</v>
      </c>
      <c r="L17" s="2">
        <v>0</v>
      </c>
      <c r="M17" s="2">
        <v>0</v>
      </c>
      <c r="N17" s="2">
        <v>5</v>
      </c>
      <c r="O17" s="2">
        <v>5129.76</v>
      </c>
      <c r="P17" s="7">
        <v>5</v>
      </c>
      <c r="Q17" s="7">
        <v>4</v>
      </c>
      <c r="R17" s="7">
        <v>0</v>
      </c>
      <c r="S17" s="10">
        <v>0.90957093</v>
      </c>
    </row>
    <row r="18" spans="1:19" x14ac:dyDescent="0.2">
      <c r="A18" s="2" t="s">
        <v>39</v>
      </c>
      <c r="B18" s="2" t="s">
        <v>33</v>
      </c>
      <c r="C18" s="2" t="s">
        <v>69</v>
      </c>
      <c r="D18" s="2" t="s">
        <v>17</v>
      </c>
      <c r="E18">
        <v>3</v>
      </c>
      <c r="F18">
        <v>3.875</v>
      </c>
      <c r="G18">
        <v>1.007054504608625</v>
      </c>
      <c r="H18">
        <v>3</v>
      </c>
      <c r="I18">
        <v>5.8487905595017304</v>
      </c>
      <c r="J18" s="2">
        <v>21</v>
      </c>
      <c r="K18" s="2">
        <v>2.38</v>
      </c>
      <c r="L18" s="2">
        <v>95</v>
      </c>
      <c r="M18" s="2">
        <v>80</v>
      </c>
      <c r="N18" s="2">
        <v>0</v>
      </c>
      <c r="O18" s="2">
        <v>6425.73</v>
      </c>
      <c r="P18" s="7">
        <v>184</v>
      </c>
      <c r="Q18" s="7">
        <v>3</v>
      </c>
      <c r="R18" s="7">
        <v>1</v>
      </c>
      <c r="S18" s="10">
        <v>0.85292000000000001</v>
      </c>
    </row>
    <row r="19" spans="1:19" x14ac:dyDescent="0.2">
      <c r="A19" s="2" t="s">
        <v>40</v>
      </c>
      <c r="B19" s="2" t="s">
        <v>33</v>
      </c>
      <c r="C19" s="2" t="s">
        <v>69</v>
      </c>
      <c r="D19" s="2" t="s">
        <v>19</v>
      </c>
      <c r="E19">
        <v>4</v>
      </c>
      <c r="F19">
        <v>4.4943820224719104</v>
      </c>
      <c r="G19">
        <v>1.5029937319511479</v>
      </c>
      <c r="H19">
        <v>4</v>
      </c>
      <c r="I19">
        <v>7.4401956060856076</v>
      </c>
      <c r="J19" s="2">
        <v>29</v>
      </c>
      <c r="K19" s="2">
        <v>0</v>
      </c>
      <c r="L19" s="2">
        <v>10</v>
      </c>
      <c r="M19" s="2">
        <v>5</v>
      </c>
      <c r="N19" s="2">
        <v>2</v>
      </c>
      <c r="O19" s="2">
        <v>5814.41</v>
      </c>
      <c r="P19" s="7">
        <v>5.4</v>
      </c>
      <c r="Q19" s="7">
        <v>3</v>
      </c>
      <c r="R19" s="7">
        <v>0</v>
      </c>
      <c r="S19" s="10">
        <v>0.58195490000000005</v>
      </c>
    </row>
    <row r="20" spans="1:19" x14ac:dyDescent="0.2">
      <c r="A20" s="2" t="s">
        <v>41</v>
      </c>
      <c r="B20" s="2" t="s">
        <v>33</v>
      </c>
      <c r="C20" s="2" t="s">
        <v>70</v>
      </c>
      <c r="D20" s="2" t="s">
        <v>17</v>
      </c>
      <c r="E20">
        <v>2</v>
      </c>
      <c r="F20">
        <v>2</v>
      </c>
      <c r="G20">
        <v>0.2876234912646613</v>
      </c>
      <c r="H20">
        <v>2</v>
      </c>
      <c r="I20">
        <v>2.5637316839864068</v>
      </c>
      <c r="J20" s="2">
        <v>30</v>
      </c>
      <c r="K20" s="2">
        <v>0</v>
      </c>
      <c r="L20" s="2">
        <v>20</v>
      </c>
      <c r="M20" s="2">
        <v>15</v>
      </c>
      <c r="N20" s="2">
        <v>6</v>
      </c>
      <c r="O20" s="2">
        <v>907.19</v>
      </c>
      <c r="P20" s="7">
        <v>82</v>
      </c>
      <c r="Q20" s="7">
        <v>1</v>
      </c>
      <c r="R20" s="7">
        <v>0</v>
      </c>
      <c r="S20" s="10">
        <v>0.74914440000000004</v>
      </c>
    </row>
    <row r="21" spans="1:19" x14ac:dyDescent="0.2">
      <c r="A21" s="2" t="s">
        <v>42</v>
      </c>
      <c r="B21" s="2" t="s">
        <v>33</v>
      </c>
      <c r="C21" s="2" t="s">
        <v>70</v>
      </c>
      <c r="D21" s="2" t="s">
        <v>19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30</v>
      </c>
      <c r="K21" s="2">
        <v>0</v>
      </c>
      <c r="L21" s="2">
        <v>75</v>
      </c>
      <c r="M21" s="2">
        <v>50</v>
      </c>
      <c r="N21" s="2">
        <v>11</v>
      </c>
      <c r="O21" s="2">
        <v>576.36</v>
      </c>
      <c r="P21" s="7">
        <v>20.9</v>
      </c>
      <c r="Q21" s="7">
        <v>1</v>
      </c>
      <c r="R21" s="7">
        <v>0</v>
      </c>
      <c r="S21" s="10">
        <v>0.79863220000000001</v>
      </c>
    </row>
    <row r="22" spans="1:19" x14ac:dyDescent="0.2">
      <c r="A22" s="2" t="s">
        <v>43</v>
      </c>
      <c r="B22" s="2" t="s">
        <v>44</v>
      </c>
      <c r="C22" s="2" t="s">
        <v>66</v>
      </c>
      <c r="D22" s="2" t="s">
        <v>17</v>
      </c>
      <c r="E22">
        <v>11</v>
      </c>
      <c r="F22">
        <v>14.375</v>
      </c>
      <c r="G22">
        <v>8.0715146551849131</v>
      </c>
      <c r="H22">
        <v>11</v>
      </c>
      <c r="I22">
        <v>30.194878024849661</v>
      </c>
      <c r="J22" s="2">
        <v>30</v>
      </c>
      <c r="K22" s="2">
        <v>0.61</v>
      </c>
      <c r="L22" s="2">
        <v>5</v>
      </c>
      <c r="M22" s="2">
        <v>10</v>
      </c>
      <c r="N22" s="2">
        <v>0</v>
      </c>
      <c r="O22" s="2">
        <v>9510.68</v>
      </c>
      <c r="P22" s="6">
        <v>117</v>
      </c>
      <c r="Q22" s="6">
        <v>3</v>
      </c>
      <c r="R22" s="6">
        <v>1</v>
      </c>
      <c r="S22" s="10">
        <v>0.85486439999999997</v>
      </c>
    </row>
    <row r="23" spans="1:19" x14ac:dyDescent="0.2">
      <c r="A23" s="2" t="s">
        <v>45</v>
      </c>
      <c r="B23" s="2" t="s">
        <v>44</v>
      </c>
      <c r="C23" s="2" t="s">
        <v>66</v>
      </c>
      <c r="D23" s="2" t="s">
        <v>19</v>
      </c>
      <c r="E23">
        <v>10</v>
      </c>
      <c r="F23">
        <v>16.066176470588239</v>
      </c>
      <c r="G23">
        <v>8.4598788750923628</v>
      </c>
      <c r="H23">
        <v>10</v>
      </c>
      <c r="I23">
        <v>32.647234379340489</v>
      </c>
      <c r="J23" s="2">
        <v>30</v>
      </c>
      <c r="K23" s="2">
        <v>1.23</v>
      </c>
      <c r="L23" s="2">
        <v>20</v>
      </c>
      <c r="M23" s="2">
        <v>40</v>
      </c>
      <c r="N23" s="2">
        <v>0</v>
      </c>
      <c r="O23" s="2">
        <v>8637.52</v>
      </c>
      <c r="P23" s="6">
        <v>27.7</v>
      </c>
      <c r="Q23" s="6">
        <v>7</v>
      </c>
      <c r="R23" s="6">
        <v>1</v>
      </c>
      <c r="S23" s="10">
        <v>0.91375214000000005</v>
      </c>
    </row>
    <row r="24" spans="1:19" x14ac:dyDescent="0.2">
      <c r="A24" s="2" t="s">
        <v>46</v>
      </c>
      <c r="B24" s="2" t="s">
        <v>44</v>
      </c>
      <c r="C24" s="2" t="s">
        <v>67</v>
      </c>
      <c r="D24" s="2" t="s">
        <v>17</v>
      </c>
      <c r="E24">
        <v>6</v>
      </c>
      <c r="F24">
        <v>9.5</v>
      </c>
      <c r="G24">
        <v>5.4306320583411782</v>
      </c>
      <c r="H24">
        <v>6</v>
      </c>
      <c r="I24">
        <v>20.143843247637331</v>
      </c>
      <c r="J24" s="2">
        <v>30</v>
      </c>
      <c r="K24" s="2">
        <v>0.48</v>
      </c>
      <c r="L24" s="2">
        <v>30</v>
      </c>
      <c r="M24" s="2">
        <v>10</v>
      </c>
      <c r="N24" s="2">
        <v>0</v>
      </c>
      <c r="O24" s="2">
        <v>9010.94</v>
      </c>
      <c r="P24" s="6">
        <v>157.4</v>
      </c>
      <c r="Q24" s="6">
        <v>3</v>
      </c>
      <c r="R24" s="6">
        <v>1</v>
      </c>
      <c r="S24" s="10">
        <v>0.90984770000000004</v>
      </c>
    </row>
    <row r="25" spans="1:19" x14ac:dyDescent="0.2">
      <c r="A25" s="2" t="s">
        <v>47</v>
      </c>
      <c r="B25" s="2" t="s">
        <v>44</v>
      </c>
      <c r="C25" s="2" t="s">
        <v>67</v>
      </c>
      <c r="D25" s="2" t="s">
        <v>19</v>
      </c>
      <c r="E25">
        <v>7</v>
      </c>
      <c r="F25">
        <v>14.33333333333333</v>
      </c>
      <c r="G25">
        <v>6.9899368764718046</v>
      </c>
      <c r="H25">
        <v>7</v>
      </c>
      <c r="I25">
        <v>28.033357865426471</v>
      </c>
      <c r="J25" s="2">
        <v>30</v>
      </c>
      <c r="K25" s="2">
        <v>0.48</v>
      </c>
      <c r="L25" s="3">
        <v>40</v>
      </c>
      <c r="M25" s="3">
        <v>65</v>
      </c>
      <c r="N25" s="2">
        <v>0</v>
      </c>
      <c r="O25" s="2">
        <v>8550.3799999999992</v>
      </c>
      <c r="P25" s="7">
        <v>16</v>
      </c>
      <c r="Q25" s="7">
        <v>4</v>
      </c>
      <c r="R25" s="7">
        <v>1</v>
      </c>
      <c r="S25" s="10">
        <v>0.89918569999999998</v>
      </c>
    </row>
    <row r="26" spans="1:19" x14ac:dyDescent="0.2">
      <c r="A26" s="2" t="s">
        <v>48</v>
      </c>
      <c r="B26" s="2" t="s">
        <v>44</v>
      </c>
      <c r="C26" s="2" t="s">
        <v>68</v>
      </c>
      <c r="D26" s="2" t="s">
        <v>17</v>
      </c>
      <c r="E26">
        <v>7</v>
      </c>
      <c r="F26">
        <v>18.25</v>
      </c>
      <c r="G26">
        <v>7.8297531954085304</v>
      </c>
      <c r="H26">
        <v>7</v>
      </c>
      <c r="I26">
        <v>33.596034270838118</v>
      </c>
      <c r="J26" s="2">
        <v>30</v>
      </c>
      <c r="K26" s="2">
        <v>0.33</v>
      </c>
      <c r="L26" s="2">
        <v>20</v>
      </c>
      <c r="M26" s="2">
        <v>45</v>
      </c>
      <c r="N26" s="2">
        <v>1</v>
      </c>
      <c r="O26" s="2">
        <v>5628.29</v>
      </c>
      <c r="P26" s="7">
        <v>110.3</v>
      </c>
      <c r="Q26" s="7">
        <v>3</v>
      </c>
      <c r="R26" s="7">
        <v>1</v>
      </c>
      <c r="S26" s="10">
        <v>0.46172195999999999</v>
      </c>
    </row>
    <row r="27" spans="1:19" x14ac:dyDescent="0.2">
      <c r="A27" s="2" t="s">
        <v>49</v>
      </c>
      <c r="B27" s="2" t="s">
        <v>44</v>
      </c>
      <c r="C27" s="2" t="s">
        <v>68</v>
      </c>
      <c r="D27" s="2" t="s">
        <v>19</v>
      </c>
      <c r="E27">
        <v>12</v>
      </c>
      <c r="F27">
        <v>20.666666666666661</v>
      </c>
      <c r="G27">
        <v>10.997954515615181</v>
      </c>
      <c r="H27">
        <v>12</v>
      </c>
      <c r="I27">
        <v>42.22226142088207</v>
      </c>
      <c r="J27" s="2">
        <v>30</v>
      </c>
      <c r="K27" s="2">
        <v>4.67</v>
      </c>
      <c r="L27" s="2">
        <v>0</v>
      </c>
      <c r="M27" s="2">
        <v>0</v>
      </c>
      <c r="N27" s="2">
        <v>5</v>
      </c>
      <c r="O27" s="2">
        <v>5129.76</v>
      </c>
      <c r="P27" s="7">
        <v>5</v>
      </c>
      <c r="Q27" s="7">
        <v>4</v>
      </c>
      <c r="R27" s="7">
        <v>0</v>
      </c>
      <c r="S27" s="10">
        <v>0.90957093</v>
      </c>
    </row>
    <row r="28" spans="1:19" x14ac:dyDescent="0.2">
      <c r="A28" s="2" t="s">
        <v>50</v>
      </c>
      <c r="B28" s="2" t="s">
        <v>44</v>
      </c>
      <c r="C28" s="2" t="s">
        <v>69</v>
      </c>
      <c r="D28" s="2" t="s">
        <v>17</v>
      </c>
      <c r="E28">
        <v>11</v>
      </c>
      <c r="F28">
        <v>11.487500000000001</v>
      </c>
      <c r="G28">
        <v>3.4024226566465572</v>
      </c>
      <c r="H28">
        <v>11</v>
      </c>
      <c r="I28">
        <v>18.156125867210338</v>
      </c>
      <c r="J28" s="2">
        <v>30</v>
      </c>
      <c r="K28" s="2">
        <v>2.38</v>
      </c>
      <c r="L28" s="2">
        <v>95</v>
      </c>
      <c r="M28" s="2">
        <v>80</v>
      </c>
      <c r="N28" s="2">
        <v>0</v>
      </c>
      <c r="O28" s="2">
        <v>6425.73</v>
      </c>
      <c r="P28" s="7">
        <v>184</v>
      </c>
      <c r="Q28" s="7">
        <v>3</v>
      </c>
      <c r="R28" s="7">
        <v>1</v>
      </c>
      <c r="S28" s="10">
        <v>0.85292000000000001</v>
      </c>
    </row>
    <row r="29" spans="1:19" x14ac:dyDescent="0.2">
      <c r="A29" s="2" t="s">
        <v>51</v>
      </c>
      <c r="B29" s="2" t="s">
        <v>44</v>
      </c>
      <c r="C29" s="2" t="s">
        <v>69</v>
      </c>
      <c r="D29" s="2" t="s">
        <v>19</v>
      </c>
      <c r="E29">
        <v>6</v>
      </c>
      <c r="F29">
        <v>13.111111111111111</v>
      </c>
      <c r="G29">
        <v>7.2138768152481134</v>
      </c>
      <c r="H29">
        <v>6</v>
      </c>
      <c r="I29">
        <v>27.25004985790591</v>
      </c>
      <c r="J29" s="2">
        <v>30</v>
      </c>
      <c r="K29" s="2">
        <v>0</v>
      </c>
      <c r="L29" s="2">
        <v>10</v>
      </c>
      <c r="M29" s="2">
        <v>5</v>
      </c>
      <c r="N29" s="2">
        <v>2</v>
      </c>
      <c r="O29" s="2">
        <v>5814.41</v>
      </c>
      <c r="P29" s="7">
        <v>5.4</v>
      </c>
      <c r="Q29" s="7">
        <v>3</v>
      </c>
      <c r="R29" s="7">
        <v>0</v>
      </c>
      <c r="S29" s="10">
        <v>0.58195490000000005</v>
      </c>
    </row>
    <row r="30" spans="1:19" x14ac:dyDescent="0.2">
      <c r="A30" s="2" t="s">
        <v>52</v>
      </c>
      <c r="B30" s="2" t="s">
        <v>44</v>
      </c>
      <c r="C30" s="2" t="s">
        <v>70</v>
      </c>
      <c r="D30" s="2" t="s">
        <v>17</v>
      </c>
      <c r="E30">
        <v>7</v>
      </c>
      <c r="F30">
        <v>20.333333333333329</v>
      </c>
      <c r="G30">
        <v>8.5648716896828532</v>
      </c>
      <c r="H30">
        <v>7</v>
      </c>
      <c r="I30">
        <v>37.120173377318437</v>
      </c>
      <c r="J30" s="2">
        <v>30</v>
      </c>
      <c r="K30" s="2">
        <v>0</v>
      </c>
      <c r="L30" s="2">
        <v>20</v>
      </c>
      <c r="M30" s="2">
        <v>15</v>
      </c>
      <c r="N30" s="2">
        <v>6</v>
      </c>
      <c r="O30" s="2">
        <v>907.19</v>
      </c>
      <c r="P30" s="7">
        <v>82</v>
      </c>
      <c r="Q30" s="7">
        <v>1</v>
      </c>
      <c r="R30" s="7">
        <v>0</v>
      </c>
      <c r="S30" s="10">
        <v>0.74914440000000004</v>
      </c>
    </row>
    <row r="31" spans="1:19" x14ac:dyDescent="0.2">
      <c r="A31" s="2" t="s">
        <v>53</v>
      </c>
      <c r="B31" s="2" t="s">
        <v>44</v>
      </c>
      <c r="C31" s="2" t="s">
        <v>70</v>
      </c>
      <c r="D31" s="2" t="s">
        <v>19</v>
      </c>
      <c r="E31" s="9">
        <v>11</v>
      </c>
      <c r="F31">
        <v>41.315789473684212</v>
      </c>
      <c r="G31">
        <v>17.851401833180851</v>
      </c>
      <c r="H31">
        <v>11</v>
      </c>
      <c r="I31">
        <v>76.303894140270955</v>
      </c>
      <c r="J31" s="2">
        <v>30</v>
      </c>
      <c r="K31" s="2">
        <v>0</v>
      </c>
      <c r="L31" s="2">
        <v>75</v>
      </c>
      <c r="M31" s="2">
        <v>50</v>
      </c>
      <c r="N31" s="2">
        <v>11</v>
      </c>
      <c r="O31" s="2">
        <v>576.36</v>
      </c>
      <c r="P31" s="7">
        <v>20.9</v>
      </c>
      <c r="Q31" s="7">
        <v>1</v>
      </c>
      <c r="R31" s="7">
        <v>0</v>
      </c>
      <c r="S31" s="10">
        <v>0.79863220000000001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51CE-4A7D-C74E-B19D-23443AFDB37A}">
  <dimension ref="A1:S31"/>
  <sheetViews>
    <sheetView tabSelected="1" workbookViewId="0">
      <selection activeCell="J33" sqref="J33"/>
    </sheetView>
  </sheetViews>
  <sheetFormatPr baseColWidth="10" defaultRowHeight="16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57</v>
      </c>
      <c r="O1" s="4" t="s">
        <v>54</v>
      </c>
      <c r="P1" s="8" t="s">
        <v>56</v>
      </c>
      <c r="Q1" s="1" t="s">
        <v>55</v>
      </c>
      <c r="R1" s="8" t="s">
        <v>58</v>
      </c>
      <c r="S1" s="8" t="s">
        <v>59</v>
      </c>
    </row>
    <row r="2" spans="1:19" x14ac:dyDescent="0.2">
      <c r="A2" s="2" t="s">
        <v>14</v>
      </c>
      <c r="B2" s="2" t="s">
        <v>15</v>
      </c>
      <c r="C2" s="2" t="s">
        <v>16</v>
      </c>
      <c r="D2" s="2" t="s">
        <v>17</v>
      </c>
      <c r="E2">
        <v>2</v>
      </c>
      <c r="F2">
        <v>2</v>
      </c>
      <c r="G2">
        <v>0.64681697189756737</v>
      </c>
      <c r="H2">
        <v>2</v>
      </c>
      <c r="I2">
        <v>3.267737969508488</v>
      </c>
      <c r="J2" s="2">
        <v>33</v>
      </c>
      <c r="K2" s="2">
        <v>0.61</v>
      </c>
      <c r="L2" s="2">
        <v>5</v>
      </c>
      <c r="M2" s="2">
        <v>10</v>
      </c>
      <c r="N2" s="2">
        <v>0</v>
      </c>
      <c r="O2" s="2">
        <v>9510.68</v>
      </c>
      <c r="P2" s="6">
        <v>117</v>
      </c>
      <c r="Q2" s="6">
        <v>3</v>
      </c>
      <c r="R2" s="6">
        <v>1</v>
      </c>
      <c r="S2" s="10">
        <v>0.85486439999999997</v>
      </c>
    </row>
    <row r="3" spans="1:19" x14ac:dyDescent="0.2">
      <c r="A3" s="2" t="s">
        <v>18</v>
      </c>
      <c r="B3" s="2" t="s">
        <v>15</v>
      </c>
      <c r="C3" s="2" t="s">
        <v>16</v>
      </c>
      <c r="D3" s="2" t="s">
        <v>19</v>
      </c>
      <c r="E3">
        <v>4</v>
      </c>
      <c r="F3">
        <v>4.954545454545455</v>
      </c>
      <c r="G3">
        <v>1.2143074883430189</v>
      </c>
      <c r="H3">
        <v>4</v>
      </c>
      <c r="I3">
        <v>7.3345443978550637</v>
      </c>
      <c r="J3">
        <v>21</v>
      </c>
      <c r="K3" s="2">
        <v>1.23</v>
      </c>
      <c r="L3" s="2">
        <v>20</v>
      </c>
      <c r="M3" s="2">
        <v>40</v>
      </c>
      <c r="N3" s="2">
        <v>0</v>
      </c>
      <c r="O3" s="2">
        <v>8637.52</v>
      </c>
      <c r="P3" s="6">
        <v>27.7</v>
      </c>
      <c r="Q3" s="6">
        <v>7</v>
      </c>
      <c r="R3" s="6">
        <v>1</v>
      </c>
      <c r="S3" s="10">
        <v>0.91375214000000005</v>
      </c>
    </row>
    <row r="4" spans="1:19" x14ac:dyDescent="0.2">
      <c r="A4" s="2" t="s">
        <v>20</v>
      </c>
      <c r="B4" s="2" t="s">
        <v>15</v>
      </c>
      <c r="C4" s="2" t="s">
        <v>21</v>
      </c>
      <c r="D4" s="2" t="s">
        <v>17</v>
      </c>
      <c r="E4">
        <v>2</v>
      </c>
      <c r="F4">
        <v>2.96875</v>
      </c>
      <c r="G4">
        <v>0.62045077116966163</v>
      </c>
      <c r="H4">
        <v>2</v>
      </c>
      <c r="I4">
        <v>4.184811165672639</v>
      </c>
      <c r="J4" s="2">
        <v>19</v>
      </c>
      <c r="K4" s="2">
        <v>0.48</v>
      </c>
      <c r="L4" s="2">
        <v>30</v>
      </c>
      <c r="M4" s="2">
        <v>10</v>
      </c>
      <c r="N4" s="2">
        <v>0</v>
      </c>
      <c r="O4" s="2">
        <v>9010.94</v>
      </c>
      <c r="P4" s="6">
        <v>157.4</v>
      </c>
      <c r="Q4" s="6">
        <v>3</v>
      </c>
      <c r="R4" s="6">
        <v>1</v>
      </c>
      <c r="S4" s="10">
        <v>0.90984770000000004</v>
      </c>
    </row>
    <row r="5" spans="1:19" x14ac:dyDescent="0.2">
      <c r="A5" s="2" t="s">
        <v>22</v>
      </c>
      <c r="B5" s="2" t="s">
        <v>15</v>
      </c>
      <c r="C5" s="2" t="s">
        <v>21</v>
      </c>
      <c r="D5" s="2" t="s">
        <v>19</v>
      </c>
      <c r="E5">
        <v>3</v>
      </c>
      <c r="F5">
        <v>3</v>
      </c>
      <c r="G5">
        <v>0.49659758153469791</v>
      </c>
      <c r="H5">
        <v>3</v>
      </c>
      <c r="I5">
        <v>3.973313374617701</v>
      </c>
      <c r="J5" s="23">
        <v>31</v>
      </c>
      <c r="K5" s="2">
        <v>0.48</v>
      </c>
      <c r="L5" s="2">
        <v>40</v>
      </c>
      <c r="M5" s="2">
        <v>65</v>
      </c>
      <c r="N5" s="2">
        <v>0</v>
      </c>
      <c r="O5" s="2">
        <v>8550.3799999999992</v>
      </c>
      <c r="P5" s="7">
        <v>16</v>
      </c>
      <c r="Q5" s="7">
        <v>4</v>
      </c>
      <c r="R5" s="7">
        <v>1</v>
      </c>
      <c r="S5" s="10">
        <v>0.89918569999999998</v>
      </c>
    </row>
    <row r="6" spans="1:19" x14ac:dyDescent="0.2">
      <c r="A6" s="2" t="s">
        <v>23</v>
      </c>
      <c r="B6" s="2" t="s">
        <v>15</v>
      </c>
      <c r="C6" s="2" t="s">
        <v>24</v>
      </c>
      <c r="D6" s="2" t="s">
        <v>17</v>
      </c>
      <c r="E6">
        <v>1</v>
      </c>
      <c r="F6">
        <v>1</v>
      </c>
      <c r="G6">
        <v>0</v>
      </c>
      <c r="H6">
        <v>1</v>
      </c>
      <c r="I6">
        <v>1</v>
      </c>
      <c r="J6" s="2">
        <v>30</v>
      </c>
      <c r="K6" s="2">
        <v>0.33</v>
      </c>
      <c r="L6" s="2">
        <v>20</v>
      </c>
      <c r="M6" s="2">
        <v>45</v>
      </c>
      <c r="N6" s="2">
        <v>1</v>
      </c>
      <c r="O6" s="2">
        <v>5628.29</v>
      </c>
      <c r="P6" s="7">
        <v>110.3</v>
      </c>
      <c r="Q6" s="7">
        <v>3</v>
      </c>
      <c r="R6" s="7">
        <v>1</v>
      </c>
      <c r="S6" s="10">
        <v>0.46172195999999999</v>
      </c>
    </row>
    <row r="7" spans="1:19" x14ac:dyDescent="0.2">
      <c r="A7" s="2" t="s">
        <v>25</v>
      </c>
      <c r="B7" s="2" t="s">
        <v>15</v>
      </c>
      <c r="C7" s="2" t="s">
        <v>24</v>
      </c>
      <c r="D7" s="2" t="s">
        <v>19</v>
      </c>
      <c r="E7">
        <v>2</v>
      </c>
      <c r="F7">
        <v>2</v>
      </c>
      <c r="G7">
        <v>0.58373573200342155</v>
      </c>
      <c r="H7">
        <v>2</v>
      </c>
      <c r="I7">
        <v>3.144101011215831</v>
      </c>
      <c r="J7" s="2">
        <v>30</v>
      </c>
      <c r="K7" s="2">
        <v>4.67</v>
      </c>
      <c r="L7" s="2">
        <v>0</v>
      </c>
      <c r="M7" s="2">
        <v>0</v>
      </c>
      <c r="N7" s="2">
        <v>5</v>
      </c>
      <c r="O7" s="2">
        <v>5129.76</v>
      </c>
      <c r="P7" s="7">
        <v>5</v>
      </c>
      <c r="Q7" s="7">
        <v>4</v>
      </c>
      <c r="R7" s="7">
        <v>0</v>
      </c>
      <c r="S7" s="10">
        <v>0.90957093</v>
      </c>
    </row>
    <row r="8" spans="1:19" x14ac:dyDescent="0.2">
      <c r="A8" s="2" t="s">
        <v>26</v>
      </c>
      <c r="B8" s="2" t="s">
        <v>15</v>
      </c>
      <c r="C8" s="2" t="s">
        <v>27</v>
      </c>
      <c r="D8" s="2" t="s">
        <v>17</v>
      </c>
      <c r="E8">
        <v>2</v>
      </c>
      <c r="F8">
        <v>2</v>
      </c>
      <c r="G8">
        <v>0</v>
      </c>
      <c r="H8">
        <v>2</v>
      </c>
      <c r="I8">
        <v>2</v>
      </c>
      <c r="J8" s="2">
        <v>21</v>
      </c>
      <c r="K8" s="2">
        <v>2.38</v>
      </c>
      <c r="L8" s="2">
        <v>95</v>
      </c>
      <c r="M8" s="2">
        <v>80</v>
      </c>
      <c r="N8" s="2">
        <v>0</v>
      </c>
      <c r="O8" s="2">
        <v>6425.73</v>
      </c>
      <c r="P8" s="7">
        <v>184</v>
      </c>
      <c r="Q8" s="7">
        <v>3</v>
      </c>
      <c r="R8" s="7">
        <v>1</v>
      </c>
      <c r="S8" s="10">
        <v>0.85292000000000001</v>
      </c>
    </row>
    <row r="9" spans="1:19" x14ac:dyDescent="0.2">
      <c r="A9" s="2" t="s">
        <v>28</v>
      </c>
      <c r="B9" s="2" t="s">
        <v>15</v>
      </c>
      <c r="C9" s="2" t="s">
        <v>27</v>
      </c>
      <c r="D9" s="2" t="s">
        <v>19</v>
      </c>
      <c r="E9">
        <v>1</v>
      </c>
      <c r="F9">
        <v>1</v>
      </c>
      <c r="G9">
        <v>0</v>
      </c>
      <c r="H9">
        <v>1</v>
      </c>
      <c r="I9">
        <v>1</v>
      </c>
      <c r="J9" s="2">
        <v>29</v>
      </c>
      <c r="K9" s="2">
        <v>0</v>
      </c>
      <c r="L9" s="2">
        <v>10</v>
      </c>
      <c r="M9" s="2">
        <v>5</v>
      </c>
      <c r="N9" s="2">
        <v>2</v>
      </c>
      <c r="O9" s="2">
        <v>5814.41</v>
      </c>
      <c r="P9" s="7">
        <v>5.4</v>
      </c>
      <c r="Q9" s="7">
        <v>3</v>
      </c>
      <c r="R9" s="7">
        <v>0</v>
      </c>
      <c r="S9" s="10">
        <v>0.58195490000000005</v>
      </c>
    </row>
    <row r="10" spans="1:19" x14ac:dyDescent="0.2">
      <c r="A10" s="2" t="s">
        <v>29</v>
      </c>
      <c r="B10" s="2" t="s">
        <v>15</v>
      </c>
      <c r="C10" s="2" t="s">
        <v>30</v>
      </c>
      <c r="D10" s="2" t="s">
        <v>17</v>
      </c>
      <c r="E10">
        <v>2</v>
      </c>
      <c r="F10">
        <v>2</v>
      </c>
      <c r="G10">
        <v>0.50449779087806856</v>
      </c>
      <c r="H10">
        <v>2</v>
      </c>
      <c r="I10">
        <v>2.9887975004010339</v>
      </c>
      <c r="J10" s="2">
        <v>30</v>
      </c>
      <c r="K10" s="2">
        <v>0</v>
      </c>
      <c r="L10" s="2">
        <v>20</v>
      </c>
      <c r="M10" s="2">
        <v>15</v>
      </c>
      <c r="N10" s="2">
        <v>6</v>
      </c>
      <c r="O10" s="2">
        <v>907.19</v>
      </c>
      <c r="P10" s="7">
        <v>82</v>
      </c>
      <c r="Q10" s="7">
        <v>1</v>
      </c>
      <c r="R10" s="7">
        <v>0</v>
      </c>
      <c r="S10" s="10">
        <v>0.74914440000000004</v>
      </c>
    </row>
    <row r="11" spans="1:19" x14ac:dyDescent="0.2">
      <c r="A11" s="2" t="s">
        <v>31</v>
      </c>
      <c r="B11" s="2" t="s">
        <v>15</v>
      </c>
      <c r="C11" s="2" t="s">
        <v>30</v>
      </c>
      <c r="D11" s="2" t="s">
        <v>19</v>
      </c>
      <c r="E11">
        <v>1</v>
      </c>
      <c r="F11">
        <v>1</v>
      </c>
      <c r="G11">
        <v>0</v>
      </c>
      <c r="H11">
        <v>1</v>
      </c>
      <c r="I11">
        <v>1</v>
      </c>
      <c r="J11" s="2">
        <v>30</v>
      </c>
      <c r="K11" s="2">
        <v>0</v>
      </c>
      <c r="L11" s="2">
        <v>75</v>
      </c>
      <c r="M11" s="2">
        <v>50</v>
      </c>
      <c r="N11" s="2">
        <v>11</v>
      </c>
      <c r="O11" s="2">
        <v>576.36</v>
      </c>
      <c r="P11" s="7">
        <v>20.9</v>
      </c>
      <c r="Q11" s="7">
        <v>1</v>
      </c>
      <c r="R11" s="7">
        <v>0</v>
      </c>
      <c r="S11" s="10">
        <v>0.79863220000000001</v>
      </c>
    </row>
    <row r="12" spans="1:19" x14ac:dyDescent="0.2">
      <c r="A12" s="2" t="s">
        <v>32</v>
      </c>
      <c r="B12" s="2" t="s">
        <v>33</v>
      </c>
      <c r="C12" s="2" t="s">
        <v>16</v>
      </c>
      <c r="D12" s="2" t="s">
        <v>17</v>
      </c>
      <c r="E12">
        <v>2</v>
      </c>
      <c r="F12">
        <v>2</v>
      </c>
      <c r="G12">
        <v>0.52936299042504886</v>
      </c>
      <c r="H12">
        <v>2</v>
      </c>
      <c r="I12">
        <v>3.037532395981517</v>
      </c>
      <c r="J12" s="2">
        <v>33</v>
      </c>
      <c r="K12" s="2">
        <v>0.61</v>
      </c>
      <c r="L12" s="2">
        <v>5</v>
      </c>
      <c r="M12" s="2">
        <v>10</v>
      </c>
      <c r="N12" s="2">
        <v>0</v>
      </c>
      <c r="O12" s="2">
        <v>9510.68</v>
      </c>
      <c r="P12" s="6">
        <v>117</v>
      </c>
      <c r="Q12" s="6">
        <v>3</v>
      </c>
      <c r="R12" s="6">
        <v>1</v>
      </c>
      <c r="S12" s="10">
        <v>0.85486439999999997</v>
      </c>
    </row>
    <row r="13" spans="1:19" x14ac:dyDescent="0.2">
      <c r="A13" s="2" t="s">
        <v>34</v>
      </c>
      <c r="B13" s="2" t="s">
        <v>33</v>
      </c>
      <c r="C13" s="2" t="s">
        <v>16</v>
      </c>
      <c r="D13" s="2" t="s">
        <v>19</v>
      </c>
      <c r="E13">
        <v>3</v>
      </c>
      <c r="F13">
        <v>3.9705882352941182</v>
      </c>
      <c r="G13">
        <v>0.55028708417798355</v>
      </c>
      <c r="H13">
        <v>3</v>
      </c>
      <c r="I13">
        <v>5.0491311014405262</v>
      </c>
      <c r="J13" s="2">
        <v>33</v>
      </c>
      <c r="K13" s="2">
        <v>1.23</v>
      </c>
      <c r="L13" s="2">
        <v>20</v>
      </c>
      <c r="M13" s="2">
        <v>40</v>
      </c>
      <c r="N13" s="2">
        <v>0</v>
      </c>
      <c r="O13" s="2">
        <v>8637.52</v>
      </c>
      <c r="P13" s="6">
        <v>27.7</v>
      </c>
      <c r="Q13" s="6">
        <v>7</v>
      </c>
      <c r="R13" s="6">
        <v>1</v>
      </c>
      <c r="S13" s="10">
        <v>0.91375214000000005</v>
      </c>
    </row>
    <row r="14" spans="1:19" x14ac:dyDescent="0.2">
      <c r="A14" s="2" t="s">
        <v>35</v>
      </c>
      <c r="B14" s="2" t="s">
        <v>33</v>
      </c>
      <c r="C14" s="2" t="s">
        <v>21</v>
      </c>
      <c r="D14" s="2" t="s">
        <v>17</v>
      </c>
      <c r="E14">
        <v>1</v>
      </c>
      <c r="F14">
        <v>1</v>
      </c>
      <c r="G14">
        <v>0</v>
      </c>
      <c r="H14">
        <v>1</v>
      </c>
      <c r="I14">
        <v>1</v>
      </c>
      <c r="J14" s="2">
        <v>31</v>
      </c>
      <c r="K14" s="2">
        <v>0.48</v>
      </c>
      <c r="L14" s="2">
        <v>30</v>
      </c>
      <c r="M14" s="2">
        <v>10</v>
      </c>
      <c r="N14" s="2">
        <v>0</v>
      </c>
      <c r="O14" s="2">
        <v>9010.94</v>
      </c>
      <c r="P14" s="6">
        <v>157.4</v>
      </c>
      <c r="Q14" s="6">
        <v>3</v>
      </c>
      <c r="R14" s="6">
        <v>1</v>
      </c>
      <c r="S14" s="10">
        <v>0.90984770000000004</v>
      </c>
    </row>
    <row r="15" spans="1:19" x14ac:dyDescent="0.2">
      <c r="A15" s="2" t="s">
        <v>36</v>
      </c>
      <c r="B15" s="2" t="s">
        <v>33</v>
      </c>
      <c r="C15" s="2" t="s">
        <v>21</v>
      </c>
      <c r="D15" s="2" t="s">
        <v>19</v>
      </c>
      <c r="E15">
        <v>1</v>
      </c>
      <c r="F15">
        <v>1</v>
      </c>
      <c r="G15">
        <v>0</v>
      </c>
      <c r="H15">
        <v>1</v>
      </c>
      <c r="I15">
        <v>1</v>
      </c>
      <c r="J15" s="2">
        <v>31</v>
      </c>
      <c r="K15" s="2">
        <v>0.48</v>
      </c>
      <c r="L15" s="3">
        <v>40</v>
      </c>
      <c r="M15" s="3">
        <v>65</v>
      </c>
      <c r="N15" s="2">
        <v>0</v>
      </c>
      <c r="O15" s="2">
        <v>8550.3799999999992</v>
      </c>
      <c r="P15" s="7">
        <v>16</v>
      </c>
      <c r="Q15" s="7">
        <v>4</v>
      </c>
      <c r="R15" s="7">
        <v>1</v>
      </c>
      <c r="S15" s="10">
        <v>0.89918569999999998</v>
      </c>
    </row>
    <row r="16" spans="1:19" x14ac:dyDescent="0.2">
      <c r="A16" s="2" t="s">
        <v>37</v>
      </c>
      <c r="B16" s="2" t="s">
        <v>33</v>
      </c>
      <c r="C16" s="2" t="s">
        <v>24</v>
      </c>
      <c r="D16" s="2" t="s">
        <v>17</v>
      </c>
      <c r="E16">
        <v>3</v>
      </c>
      <c r="F16">
        <v>3.967741935483871</v>
      </c>
      <c r="G16">
        <v>0.69146777716548458</v>
      </c>
      <c r="H16">
        <v>3</v>
      </c>
      <c r="I16">
        <v>5.322993875198188</v>
      </c>
      <c r="J16" s="2">
        <v>30</v>
      </c>
      <c r="K16" s="2">
        <v>0.33</v>
      </c>
      <c r="L16" s="2">
        <v>20</v>
      </c>
      <c r="M16" s="2">
        <v>45</v>
      </c>
      <c r="N16" s="2">
        <v>1</v>
      </c>
      <c r="O16" s="2">
        <v>5628.29</v>
      </c>
      <c r="P16" s="7">
        <v>110.3</v>
      </c>
      <c r="Q16" s="7">
        <v>3</v>
      </c>
      <c r="R16" s="7">
        <v>1</v>
      </c>
      <c r="S16" s="10">
        <v>0.46172195999999999</v>
      </c>
    </row>
    <row r="17" spans="1:19" x14ac:dyDescent="0.2">
      <c r="A17" s="2" t="s">
        <v>38</v>
      </c>
      <c r="B17" s="2" t="s">
        <v>33</v>
      </c>
      <c r="C17" s="2" t="s">
        <v>24</v>
      </c>
      <c r="D17" s="2" t="s">
        <v>19</v>
      </c>
      <c r="E17" s="2">
        <v>0</v>
      </c>
      <c r="F17">
        <v>0</v>
      </c>
      <c r="G17">
        <v>0</v>
      </c>
      <c r="H17">
        <v>0</v>
      </c>
      <c r="I17">
        <v>0</v>
      </c>
      <c r="J17" s="2">
        <v>30</v>
      </c>
      <c r="K17" s="2">
        <v>4.67</v>
      </c>
      <c r="L17" s="2">
        <v>0</v>
      </c>
      <c r="M17" s="2">
        <v>0</v>
      </c>
      <c r="N17" s="2">
        <v>5</v>
      </c>
      <c r="O17" s="2">
        <v>5129.76</v>
      </c>
      <c r="P17" s="7">
        <v>5</v>
      </c>
      <c r="Q17" s="7">
        <v>4</v>
      </c>
      <c r="R17" s="7">
        <v>0</v>
      </c>
      <c r="S17" s="10">
        <v>0.90957093</v>
      </c>
    </row>
    <row r="18" spans="1:19" x14ac:dyDescent="0.2">
      <c r="A18" s="2" t="s">
        <v>39</v>
      </c>
      <c r="B18" s="2" t="s">
        <v>33</v>
      </c>
      <c r="C18" s="2" t="s">
        <v>27</v>
      </c>
      <c r="D18" s="2" t="s">
        <v>17</v>
      </c>
      <c r="E18">
        <v>3</v>
      </c>
      <c r="F18">
        <v>3.954545454545455</v>
      </c>
      <c r="G18">
        <v>1.0634690488178951</v>
      </c>
      <c r="H18">
        <v>3</v>
      </c>
      <c r="I18">
        <v>6.0389064889015973</v>
      </c>
      <c r="J18" s="2">
        <v>21</v>
      </c>
      <c r="K18" s="2">
        <v>2.38</v>
      </c>
      <c r="L18" s="2">
        <v>95</v>
      </c>
      <c r="M18" s="2">
        <v>80</v>
      </c>
      <c r="N18" s="2">
        <v>0</v>
      </c>
      <c r="O18" s="2">
        <v>6425.73</v>
      </c>
      <c r="P18" s="7">
        <v>184</v>
      </c>
      <c r="Q18" s="7">
        <v>3</v>
      </c>
      <c r="R18" s="7">
        <v>1</v>
      </c>
      <c r="S18" s="10">
        <v>0.85292000000000001</v>
      </c>
    </row>
    <row r="19" spans="1:19" x14ac:dyDescent="0.2">
      <c r="A19" s="2" t="s">
        <v>40</v>
      </c>
      <c r="B19" s="2" t="s">
        <v>33</v>
      </c>
      <c r="C19" s="2" t="s">
        <v>27</v>
      </c>
      <c r="D19" s="2" t="s">
        <v>19</v>
      </c>
      <c r="E19">
        <v>4</v>
      </c>
      <c r="F19">
        <v>4.4833333333333334</v>
      </c>
      <c r="G19">
        <v>1.930769401716272</v>
      </c>
      <c r="H19">
        <v>4</v>
      </c>
      <c r="I19">
        <v>8.2675718231491739</v>
      </c>
      <c r="J19" s="2">
        <v>29</v>
      </c>
      <c r="K19" s="2">
        <v>0</v>
      </c>
      <c r="L19" s="2">
        <v>10</v>
      </c>
      <c r="M19" s="2">
        <v>5</v>
      </c>
      <c r="N19" s="2">
        <v>2</v>
      </c>
      <c r="O19" s="2">
        <v>5814.41</v>
      </c>
      <c r="P19" s="7">
        <v>5.4</v>
      </c>
      <c r="Q19" s="7">
        <v>3</v>
      </c>
      <c r="R19" s="7">
        <v>0</v>
      </c>
      <c r="S19" s="10">
        <v>0.58195490000000005</v>
      </c>
    </row>
    <row r="20" spans="1:19" x14ac:dyDescent="0.2">
      <c r="A20" s="2" t="s">
        <v>41</v>
      </c>
      <c r="B20" s="2" t="s">
        <v>33</v>
      </c>
      <c r="C20" s="2" t="s">
        <v>30</v>
      </c>
      <c r="D20" s="2" t="s">
        <v>17</v>
      </c>
      <c r="E20">
        <v>2</v>
      </c>
      <c r="F20">
        <v>2</v>
      </c>
      <c r="G20">
        <v>0.35887028128263693</v>
      </c>
      <c r="H20">
        <v>2</v>
      </c>
      <c r="I20">
        <v>2.7033728264357269</v>
      </c>
      <c r="J20" s="2">
        <v>30</v>
      </c>
      <c r="K20" s="2">
        <v>0</v>
      </c>
      <c r="L20" s="2">
        <v>20</v>
      </c>
      <c r="M20" s="2">
        <v>15</v>
      </c>
      <c r="N20" s="2">
        <v>6</v>
      </c>
      <c r="O20" s="2">
        <v>907.19</v>
      </c>
      <c r="P20" s="7">
        <v>82</v>
      </c>
      <c r="Q20" s="7">
        <v>1</v>
      </c>
      <c r="R20" s="7">
        <v>0</v>
      </c>
      <c r="S20" s="10">
        <v>0.74914440000000004</v>
      </c>
    </row>
    <row r="21" spans="1:19" x14ac:dyDescent="0.2">
      <c r="A21" s="2" t="s">
        <v>42</v>
      </c>
      <c r="B21" s="2" t="s">
        <v>33</v>
      </c>
      <c r="C21" s="2" t="s">
        <v>30</v>
      </c>
      <c r="D21" s="2" t="s">
        <v>19</v>
      </c>
      <c r="E21" s="2">
        <v>0</v>
      </c>
      <c r="F21">
        <v>0</v>
      </c>
      <c r="G21">
        <v>0</v>
      </c>
      <c r="H21">
        <v>0</v>
      </c>
      <c r="I21">
        <v>0</v>
      </c>
      <c r="J21" s="2">
        <v>30</v>
      </c>
      <c r="K21" s="2">
        <v>0</v>
      </c>
      <c r="L21" s="2">
        <v>75</v>
      </c>
      <c r="M21" s="2">
        <v>50</v>
      </c>
      <c r="N21" s="2">
        <v>11</v>
      </c>
      <c r="O21" s="2">
        <v>576.36</v>
      </c>
      <c r="P21" s="7">
        <v>20.9</v>
      </c>
      <c r="Q21" s="7">
        <v>1</v>
      </c>
      <c r="R21" s="7">
        <v>0</v>
      </c>
      <c r="S21" s="10">
        <v>0.79863220000000001</v>
      </c>
    </row>
    <row r="22" spans="1:19" x14ac:dyDescent="0.2">
      <c r="A22" s="2" t="s">
        <v>43</v>
      </c>
      <c r="B22" s="2" t="s">
        <v>44</v>
      </c>
      <c r="C22" s="2" t="s">
        <v>16</v>
      </c>
      <c r="D22" s="2" t="s">
        <v>17</v>
      </c>
      <c r="E22">
        <v>3</v>
      </c>
      <c r="F22">
        <v>3.2416666666666671</v>
      </c>
      <c r="G22">
        <v>1.762848557840061</v>
      </c>
      <c r="H22">
        <v>3</v>
      </c>
      <c r="I22">
        <v>6.6967863502315614</v>
      </c>
      <c r="J22" s="2">
        <v>30</v>
      </c>
      <c r="K22" s="2">
        <v>0.61</v>
      </c>
      <c r="L22" s="2">
        <v>5</v>
      </c>
      <c r="M22" s="2">
        <v>10</v>
      </c>
      <c r="N22" s="2">
        <v>0</v>
      </c>
      <c r="O22" s="2">
        <v>9510.68</v>
      </c>
      <c r="P22" s="6">
        <v>117</v>
      </c>
      <c r="Q22" s="6">
        <v>3</v>
      </c>
      <c r="R22" s="6">
        <v>1</v>
      </c>
      <c r="S22" s="10">
        <v>0.85486439999999997</v>
      </c>
    </row>
    <row r="23" spans="1:19" x14ac:dyDescent="0.2">
      <c r="A23" s="2" t="s">
        <v>45</v>
      </c>
      <c r="B23" s="2" t="s">
        <v>44</v>
      </c>
      <c r="C23" s="2" t="s">
        <v>16</v>
      </c>
      <c r="D23" s="2" t="s">
        <v>19</v>
      </c>
      <c r="E23">
        <v>4</v>
      </c>
      <c r="F23">
        <v>4.9666666666666668</v>
      </c>
      <c r="G23">
        <v>2.325606597618918</v>
      </c>
      <c r="H23">
        <v>4</v>
      </c>
      <c r="I23">
        <v>9.5247718402084782</v>
      </c>
      <c r="J23" s="2">
        <v>30</v>
      </c>
      <c r="K23" s="2">
        <v>1.23</v>
      </c>
      <c r="L23" s="2">
        <v>20</v>
      </c>
      <c r="M23" s="2">
        <v>40</v>
      </c>
      <c r="N23" s="2">
        <v>0</v>
      </c>
      <c r="O23" s="2">
        <v>8637.52</v>
      </c>
      <c r="P23" s="6">
        <v>27.7</v>
      </c>
      <c r="Q23" s="6">
        <v>7</v>
      </c>
      <c r="R23" s="6">
        <v>1</v>
      </c>
      <c r="S23" s="10">
        <v>0.91375214000000005</v>
      </c>
    </row>
    <row r="24" spans="1:19" x14ac:dyDescent="0.2">
      <c r="A24" s="2" t="s">
        <v>46</v>
      </c>
      <c r="B24" s="2" t="s">
        <v>44</v>
      </c>
      <c r="C24" s="2" t="s">
        <v>21</v>
      </c>
      <c r="D24" s="2" t="s">
        <v>17</v>
      </c>
      <c r="E24">
        <v>0</v>
      </c>
      <c r="F24">
        <v>0</v>
      </c>
      <c r="G24">
        <v>0</v>
      </c>
      <c r="H24">
        <v>0</v>
      </c>
      <c r="I24">
        <v>0</v>
      </c>
      <c r="J24" s="2">
        <v>30</v>
      </c>
      <c r="K24" s="2">
        <v>0.48</v>
      </c>
      <c r="L24" s="2">
        <v>30</v>
      </c>
      <c r="M24" s="2">
        <v>10</v>
      </c>
      <c r="N24" s="2">
        <v>0</v>
      </c>
      <c r="O24" s="2">
        <v>9010.94</v>
      </c>
      <c r="P24" s="6">
        <v>157.4</v>
      </c>
      <c r="Q24" s="6">
        <v>3</v>
      </c>
      <c r="R24" s="6">
        <v>1</v>
      </c>
      <c r="S24" s="10">
        <v>0.90984770000000004</v>
      </c>
    </row>
    <row r="25" spans="1:19" x14ac:dyDescent="0.2">
      <c r="A25" s="2" t="s">
        <v>47</v>
      </c>
      <c r="B25" s="2" t="s">
        <v>44</v>
      </c>
      <c r="C25" s="2" t="s">
        <v>21</v>
      </c>
      <c r="D25" s="2" t="s">
        <v>19</v>
      </c>
      <c r="E25">
        <v>4</v>
      </c>
      <c r="F25">
        <v>5.9333333333333336</v>
      </c>
      <c r="G25">
        <v>2.6189536514765059</v>
      </c>
      <c r="H25">
        <v>4</v>
      </c>
      <c r="I25">
        <v>11.06638816740695</v>
      </c>
      <c r="J25" s="2">
        <v>30</v>
      </c>
      <c r="K25" s="2">
        <v>0.48</v>
      </c>
      <c r="L25" s="3">
        <v>40</v>
      </c>
      <c r="M25" s="3">
        <v>65</v>
      </c>
      <c r="N25" s="2">
        <v>0</v>
      </c>
      <c r="O25" s="2">
        <v>8550.3799999999992</v>
      </c>
      <c r="P25" s="7">
        <v>16</v>
      </c>
      <c r="Q25" s="7">
        <v>4</v>
      </c>
      <c r="R25" s="7">
        <v>1</v>
      </c>
      <c r="S25" s="10">
        <v>0.89918569999999998</v>
      </c>
    </row>
    <row r="26" spans="1:19" x14ac:dyDescent="0.2">
      <c r="A26" s="2" t="s">
        <v>48</v>
      </c>
      <c r="B26" s="2" t="s">
        <v>44</v>
      </c>
      <c r="C26" s="2" t="s">
        <v>24</v>
      </c>
      <c r="D26" s="2" t="s">
        <v>17</v>
      </c>
      <c r="E26">
        <v>3</v>
      </c>
      <c r="F26">
        <v>4.9333333333333336</v>
      </c>
      <c r="G26">
        <v>2.4075618532399958</v>
      </c>
      <c r="H26">
        <v>3</v>
      </c>
      <c r="I26">
        <v>9.6520678562362328</v>
      </c>
      <c r="J26" s="2">
        <v>30</v>
      </c>
      <c r="K26" s="2">
        <v>0.33</v>
      </c>
      <c r="L26" s="2">
        <v>20</v>
      </c>
      <c r="M26" s="2">
        <v>45</v>
      </c>
      <c r="N26" s="2">
        <v>1</v>
      </c>
      <c r="O26" s="2">
        <v>5628.29</v>
      </c>
      <c r="P26" s="7">
        <v>110.3</v>
      </c>
      <c r="Q26" s="7">
        <v>3</v>
      </c>
      <c r="R26" s="7">
        <v>1</v>
      </c>
      <c r="S26" s="10">
        <v>0.46172195999999999</v>
      </c>
    </row>
    <row r="27" spans="1:19" x14ac:dyDescent="0.2">
      <c r="A27" s="2" t="s">
        <v>49</v>
      </c>
      <c r="B27" s="2" t="s">
        <v>44</v>
      </c>
      <c r="C27" s="2" t="s">
        <v>24</v>
      </c>
      <c r="D27" s="2" t="s">
        <v>19</v>
      </c>
      <c r="E27">
        <v>3</v>
      </c>
      <c r="F27">
        <v>3.9666666666666668</v>
      </c>
      <c r="G27">
        <v>1.6358759371222369</v>
      </c>
      <c r="H27">
        <v>3</v>
      </c>
      <c r="I27">
        <v>7.1729245866019609</v>
      </c>
      <c r="J27" s="2">
        <v>30</v>
      </c>
      <c r="K27" s="2">
        <v>4.67</v>
      </c>
      <c r="L27" s="2">
        <v>0</v>
      </c>
      <c r="M27" s="2">
        <v>0</v>
      </c>
      <c r="N27" s="2">
        <v>5</v>
      </c>
      <c r="O27" s="2">
        <v>5129.76</v>
      </c>
      <c r="P27" s="7">
        <v>5</v>
      </c>
      <c r="Q27" s="7">
        <v>4</v>
      </c>
      <c r="R27" s="7">
        <v>0</v>
      </c>
      <c r="S27" s="10">
        <v>0.90957093</v>
      </c>
    </row>
    <row r="28" spans="1:19" x14ac:dyDescent="0.2">
      <c r="A28" s="2" t="s">
        <v>50</v>
      </c>
      <c r="B28" s="2" t="s">
        <v>44</v>
      </c>
      <c r="C28" s="2" t="s">
        <v>27</v>
      </c>
      <c r="D28" s="2" t="s">
        <v>17</v>
      </c>
      <c r="E28">
        <v>4</v>
      </c>
      <c r="F28">
        <v>4.4833333333333334</v>
      </c>
      <c r="G28">
        <v>1.7293005897863429</v>
      </c>
      <c r="H28">
        <v>4</v>
      </c>
      <c r="I28">
        <v>7.8727002077584389</v>
      </c>
      <c r="J28" s="2">
        <v>30</v>
      </c>
      <c r="K28" s="2">
        <v>2.38</v>
      </c>
      <c r="L28" s="2">
        <v>95</v>
      </c>
      <c r="M28" s="2">
        <v>80</v>
      </c>
      <c r="N28" s="2">
        <v>0</v>
      </c>
      <c r="O28" s="2">
        <v>6425.73</v>
      </c>
      <c r="P28" s="7">
        <v>184</v>
      </c>
      <c r="Q28" s="7">
        <v>3</v>
      </c>
      <c r="R28" s="7">
        <v>1</v>
      </c>
      <c r="S28" s="10">
        <v>0.85292000000000001</v>
      </c>
    </row>
    <row r="29" spans="1:19" x14ac:dyDescent="0.2">
      <c r="A29" s="2" t="s">
        <v>51</v>
      </c>
      <c r="B29" s="2" t="s">
        <v>44</v>
      </c>
      <c r="C29" s="2" t="s">
        <v>27</v>
      </c>
      <c r="D29" s="2" t="s">
        <v>19</v>
      </c>
      <c r="E29">
        <v>4</v>
      </c>
      <c r="F29">
        <v>8.35</v>
      </c>
      <c r="G29">
        <v>4.7702457943005996</v>
      </c>
      <c r="H29">
        <v>4</v>
      </c>
      <c r="I29">
        <v>17.699509954232841</v>
      </c>
      <c r="J29" s="2">
        <v>30</v>
      </c>
      <c r="K29" s="2">
        <v>0</v>
      </c>
      <c r="L29" s="2">
        <v>10</v>
      </c>
      <c r="M29" s="2">
        <v>5</v>
      </c>
      <c r="N29" s="2">
        <v>2</v>
      </c>
      <c r="O29" s="2">
        <v>5814.41</v>
      </c>
      <c r="P29" s="7">
        <v>5.4</v>
      </c>
      <c r="Q29" s="7">
        <v>3</v>
      </c>
      <c r="R29" s="7">
        <v>0</v>
      </c>
      <c r="S29" s="10">
        <v>0.58195490000000005</v>
      </c>
    </row>
    <row r="30" spans="1:19" x14ac:dyDescent="0.2">
      <c r="A30" s="2" t="s">
        <v>52</v>
      </c>
      <c r="B30" s="2" t="s">
        <v>44</v>
      </c>
      <c r="C30" s="2" t="s">
        <v>30</v>
      </c>
      <c r="D30" s="2" t="s">
        <v>17</v>
      </c>
      <c r="E30">
        <v>3</v>
      </c>
      <c r="F30">
        <v>5.9</v>
      </c>
      <c r="G30">
        <v>1.700175389720239</v>
      </c>
      <c r="H30">
        <v>3</v>
      </c>
      <c r="I30">
        <v>9.2322825312530181</v>
      </c>
      <c r="J30" s="2">
        <v>30</v>
      </c>
      <c r="K30" s="2">
        <v>0</v>
      </c>
      <c r="L30" s="2">
        <v>20</v>
      </c>
      <c r="M30" s="2">
        <v>15</v>
      </c>
      <c r="N30" s="2">
        <v>6</v>
      </c>
      <c r="O30" s="2">
        <v>907.19</v>
      </c>
      <c r="P30" s="7">
        <v>82</v>
      </c>
      <c r="Q30" s="7">
        <v>1</v>
      </c>
      <c r="R30" s="7">
        <v>0</v>
      </c>
      <c r="S30" s="10">
        <v>0.74914440000000004</v>
      </c>
    </row>
    <row r="31" spans="1:19" x14ac:dyDescent="0.2">
      <c r="A31" s="2" t="s">
        <v>53</v>
      </c>
      <c r="B31" s="2" t="s">
        <v>44</v>
      </c>
      <c r="C31" s="2" t="s">
        <v>30</v>
      </c>
      <c r="D31" s="2" t="s">
        <v>19</v>
      </c>
      <c r="E31">
        <v>4</v>
      </c>
      <c r="F31">
        <v>9.8000000000000007</v>
      </c>
      <c r="G31">
        <v>2.8343578059782129</v>
      </c>
      <c r="H31">
        <v>4.2447607809827366</v>
      </c>
      <c r="I31">
        <v>15.35523921901726</v>
      </c>
      <c r="J31" s="2">
        <v>30</v>
      </c>
      <c r="K31" s="2">
        <v>0</v>
      </c>
      <c r="L31" s="2">
        <v>75</v>
      </c>
      <c r="M31" s="2">
        <v>50</v>
      </c>
      <c r="N31" s="2">
        <v>11</v>
      </c>
      <c r="O31" s="2">
        <v>576.36</v>
      </c>
      <c r="P31" s="7">
        <v>20.9</v>
      </c>
      <c r="Q31" s="7">
        <v>1</v>
      </c>
      <c r="R31" s="7">
        <v>0</v>
      </c>
      <c r="S31" s="10">
        <v>0.79863220000000001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9C47-50AF-D548-8D06-1F66B03A0B4B}">
  <dimension ref="A1:S41"/>
  <sheetViews>
    <sheetView workbookViewId="0">
      <selection activeCell="P32" sqref="P32"/>
    </sheetView>
  </sheetViews>
  <sheetFormatPr baseColWidth="10" defaultRowHeight="16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57</v>
      </c>
      <c r="O1" s="4" t="s">
        <v>54</v>
      </c>
      <c r="P1" s="8" t="s">
        <v>56</v>
      </c>
      <c r="Q1" s="1" t="s">
        <v>55</v>
      </c>
      <c r="R1" s="8" t="s">
        <v>58</v>
      </c>
      <c r="S1" s="8" t="s">
        <v>59</v>
      </c>
    </row>
    <row r="2" spans="1:19" x14ac:dyDescent="0.2">
      <c r="A2" s="12" t="s">
        <v>14</v>
      </c>
      <c r="B2" s="12" t="s">
        <v>15</v>
      </c>
      <c r="C2" s="12" t="s">
        <v>16</v>
      </c>
      <c r="D2" s="12" t="s">
        <v>17</v>
      </c>
      <c r="E2" s="13">
        <v>2</v>
      </c>
      <c r="F2" s="13">
        <v>2</v>
      </c>
      <c r="G2" s="13">
        <v>0.64681697189756737</v>
      </c>
      <c r="H2" s="13">
        <v>2</v>
      </c>
      <c r="I2" s="13">
        <v>3.267737969508488</v>
      </c>
      <c r="J2" s="12">
        <v>33</v>
      </c>
      <c r="K2" s="12">
        <v>0.61</v>
      </c>
      <c r="L2" s="12">
        <v>5</v>
      </c>
      <c r="M2" s="12">
        <v>10</v>
      </c>
      <c r="N2" s="12">
        <v>0</v>
      </c>
      <c r="O2" s="12">
        <v>9510.68</v>
      </c>
      <c r="P2" s="14">
        <v>117</v>
      </c>
      <c r="Q2" s="14">
        <v>3</v>
      </c>
      <c r="R2" s="14">
        <v>1</v>
      </c>
      <c r="S2" s="15">
        <v>0.85486439999999997</v>
      </c>
    </row>
    <row r="3" spans="1:19" x14ac:dyDescent="0.2">
      <c r="A3" s="12" t="s">
        <v>20</v>
      </c>
      <c r="B3" s="12" t="s">
        <v>15</v>
      </c>
      <c r="C3" s="12" t="s">
        <v>21</v>
      </c>
      <c r="D3" s="12" t="s">
        <v>17</v>
      </c>
      <c r="E3" s="13">
        <v>2</v>
      </c>
      <c r="F3" s="13">
        <v>2.96875</v>
      </c>
      <c r="G3" s="13">
        <v>0.62045077116966163</v>
      </c>
      <c r="H3" s="13">
        <v>2</v>
      </c>
      <c r="I3" s="13">
        <v>4.184811165672639</v>
      </c>
      <c r="J3" s="13">
        <v>19</v>
      </c>
      <c r="K3" s="12">
        <v>0.48</v>
      </c>
      <c r="L3" s="12">
        <v>30</v>
      </c>
      <c r="M3" s="12">
        <v>10</v>
      </c>
      <c r="N3" s="12">
        <v>0</v>
      </c>
      <c r="O3" s="12">
        <v>9010.94</v>
      </c>
      <c r="P3" s="14">
        <v>157.4</v>
      </c>
      <c r="Q3" s="14">
        <v>3</v>
      </c>
      <c r="R3" s="14">
        <v>1</v>
      </c>
      <c r="S3" s="15">
        <v>0.90984770000000004</v>
      </c>
    </row>
    <row r="4" spans="1:19" x14ac:dyDescent="0.2">
      <c r="A4" s="12" t="s">
        <v>23</v>
      </c>
      <c r="B4" s="12" t="s">
        <v>15</v>
      </c>
      <c r="C4" s="12" t="s">
        <v>24</v>
      </c>
      <c r="D4" s="12" t="s">
        <v>17</v>
      </c>
      <c r="E4" s="13">
        <v>1</v>
      </c>
      <c r="F4" s="13">
        <v>1</v>
      </c>
      <c r="G4" s="13">
        <v>0</v>
      </c>
      <c r="H4" s="13">
        <v>1</v>
      </c>
      <c r="I4" s="13">
        <v>1</v>
      </c>
      <c r="J4" s="12">
        <v>30</v>
      </c>
      <c r="K4" s="12">
        <v>0.33</v>
      </c>
      <c r="L4" s="12">
        <v>20</v>
      </c>
      <c r="M4" s="12">
        <v>45</v>
      </c>
      <c r="N4" s="12">
        <v>1</v>
      </c>
      <c r="O4" s="12">
        <v>5628.29</v>
      </c>
      <c r="P4" s="14">
        <v>110.3</v>
      </c>
      <c r="Q4" s="14">
        <v>3</v>
      </c>
      <c r="R4" s="14">
        <v>1</v>
      </c>
      <c r="S4" s="15">
        <v>0.46172195999999999</v>
      </c>
    </row>
    <row r="5" spans="1:19" x14ac:dyDescent="0.2">
      <c r="A5" s="12" t="s">
        <v>26</v>
      </c>
      <c r="B5" s="12" t="s">
        <v>15</v>
      </c>
      <c r="C5" s="12" t="s">
        <v>27</v>
      </c>
      <c r="D5" s="12" t="s">
        <v>17</v>
      </c>
      <c r="E5" s="13">
        <v>2</v>
      </c>
      <c r="F5" s="13">
        <v>2</v>
      </c>
      <c r="G5" s="13">
        <v>0</v>
      </c>
      <c r="H5" s="13">
        <v>2</v>
      </c>
      <c r="I5" s="13">
        <v>2</v>
      </c>
      <c r="J5" s="13">
        <v>21</v>
      </c>
      <c r="K5" s="12">
        <v>2.38</v>
      </c>
      <c r="L5" s="12">
        <v>95</v>
      </c>
      <c r="M5" s="12">
        <v>80</v>
      </c>
      <c r="N5" s="12">
        <v>0</v>
      </c>
      <c r="O5" s="12">
        <v>6425.73</v>
      </c>
      <c r="P5" s="21">
        <v>184</v>
      </c>
      <c r="Q5" s="21">
        <v>3</v>
      </c>
      <c r="R5" s="21">
        <v>1</v>
      </c>
      <c r="S5" s="15">
        <v>0.85292000000000001</v>
      </c>
    </row>
    <row r="6" spans="1:19" x14ac:dyDescent="0.2">
      <c r="A6" s="12" t="s">
        <v>29</v>
      </c>
      <c r="B6" s="12" t="s">
        <v>15</v>
      </c>
      <c r="C6" s="12" t="s">
        <v>30</v>
      </c>
      <c r="D6" s="12" t="s">
        <v>17</v>
      </c>
      <c r="E6" s="13">
        <v>2</v>
      </c>
      <c r="F6" s="13">
        <v>2</v>
      </c>
      <c r="G6" s="13">
        <v>0.50449779087806856</v>
      </c>
      <c r="H6" s="13">
        <v>2</v>
      </c>
      <c r="I6" s="13">
        <v>2.9887975004010339</v>
      </c>
      <c r="J6" s="12">
        <v>30</v>
      </c>
      <c r="K6" s="12">
        <v>0</v>
      </c>
      <c r="L6" s="12">
        <v>20</v>
      </c>
      <c r="M6" s="12">
        <v>15</v>
      </c>
      <c r="N6" s="12">
        <v>6</v>
      </c>
      <c r="O6" s="12">
        <v>907.19</v>
      </c>
      <c r="P6" s="21">
        <v>82</v>
      </c>
      <c r="Q6" s="21">
        <v>1</v>
      </c>
      <c r="R6" s="21">
        <v>0</v>
      </c>
      <c r="S6" s="15">
        <v>0.74914440000000004</v>
      </c>
    </row>
    <row r="7" spans="1:19" x14ac:dyDescent="0.2">
      <c r="A7" s="12" t="s">
        <v>32</v>
      </c>
      <c r="B7" s="12" t="s">
        <v>33</v>
      </c>
      <c r="C7" s="12" t="s">
        <v>16</v>
      </c>
      <c r="D7" s="12" t="s">
        <v>17</v>
      </c>
      <c r="E7" s="13">
        <v>2</v>
      </c>
      <c r="F7" s="13">
        <v>2</v>
      </c>
      <c r="G7" s="13">
        <v>0.52936299042504886</v>
      </c>
      <c r="H7" s="13">
        <v>2</v>
      </c>
      <c r="I7" s="13">
        <v>3.037532395981517</v>
      </c>
      <c r="J7" s="12">
        <v>33</v>
      </c>
      <c r="K7" s="12">
        <v>0.61</v>
      </c>
      <c r="L7" s="12">
        <v>5</v>
      </c>
      <c r="M7" s="12">
        <v>10</v>
      </c>
      <c r="N7" s="12">
        <v>0</v>
      </c>
      <c r="O7" s="12">
        <v>9510.68</v>
      </c>
      <c r="P7" s="21">
        <v>117</v>
      </c>
      <c r="Q7" s="21">
        <v>3</v>
      </c>
      <c r="R7" s="21">
        <v>1</v>
      </c>
      <c r="S7" s="15">
        <v>0.85486439999999997</v>
      </c>
    </row>
    <row r="8" spans="1:19" x14ac:dyDescent="0.2">
      <c r="A8" s="12" t="s">
        <v>35</v>
      </c>
      <c r="B8" s="12" t="s">
        <v>33</v>
      </c>
      <c r="C8" s="12" t="s">
        <v>21</v>
      </c>
      <c r="D8" s="12" t="s">
        <v>17</v>
      </c>
      <c r="E8" s="13">
        <v>1</v>
      </c>
      <c r="F8" s="13">
        <v>1</v>
      </c>
      <c r="G8" s="13">
        <v>0</v>
      </c>
      <c r="H8" s="13">
        <v>1</v>
      </c>
      <c r="I8" s="13">
        <v>1</v>
      </c>
      <c r="J8" s="12">
        <v>31</v>
      </c>
      <c r="K8" s="12">
        <v>0.48</v>
      </c>
      <c r="L8" s="12">
        <v>30</v>
      </c>
      <c r="M8" s="12">
        <v>10</v>
      </c>
      <c r="N8" s="12">
        <v>0</v>
      </c>
      <c r="O8" s="12">
        <v>9010.94</v>
      </c>
      <c r="P8" s="21">
        <v>157.4</v>
      </c>
      <c r="Q8" s="21">
        <v>3</v>
      </c>
      <c r="R8" s="21">
        <v>1</v>
      </c>
      <c r="S8" s="15">
        <v>0.90984770000000004</v>
      </c>
    </row>
    <row r="9" spans="1:19" x14ac:dyDescent="0.2">
      <c r="A9" s="12" t="s">
        <v>37</v>
      </c>
      <c r="B9" s="12" t="s">
        <v>33</v>
      </c>
      <c r="C9" s="12" t="s">
        <v>24</v>
      </c>
      <c r="D9" s="12" t="s">
        <v>17</v>
      </c>
      <c r="E9" s="13">
        <v>3</v>
      </c>
      <c r="F9" s="13">
        <v>3.967741935483871</v>
      </c>
      <c r="G9" s="13">
        <v>0.69146777716548458</v>
      </c>
      <c r="H9" s="13">
        <v>3</v>
      </c>
      <c r="I9" s="13">
        <v>5.322993875198188</v>
      </c>
      <c r="J9" s="12">
        <v>30</v>
      </c>
      <c r="K9" s="12">
        <v>0.33</v>
      </c>
      <c r="L9" s="12">
        <v>20</v>
      </c>
      <c r="M9" s="12">
        <v>45</v>
      </c>
      <c r="N9" s="12">
        <v>1</v>
      </c>
      <c r="O9" s="12">
        <v>5628.29</v>
      </c>
      <c r="P9" s="21">
        <v>110.3</v>
      </c>
      <c r="Q9" s="21">
        <v>3</v>
      </c>
      <c r="R9" s="21">
        <v>1</v>
      </c>
      <c r="S9" s="15">
        <v>0.46172195999999999</v>
      </c>
    </row>
    <row r="10" spans="1:19" x14ac:dyDescent="0.2">
      <c r="A10" s="12" t="s">
        <v>39</v>
      </c>
      <c r="B10" s="12" t="s">
        <v>33</v>
      </c>
      <c r="C10" s="12" t="s">
        <v>27</v>
      </c>
      <c r="D10" s="12" t="s">
        <v>17</v>
      </c>
      <c r="E10" s="13">
        <v>3</v>
      </c>
      <c r="F10" s="13">
        <v>3.954545454545455</v>
      </c>
      <c r="G10" s="13">
        <v>1.0634690488178951</v>
      </c>
      <c r="H10" s="13">
        <v>3</v>
      </c>
      <c r="I10" s="13">
        <v>6.0389064889015973</v>
      </c>
      <c r="J10" s="12">
        <v>21</v>
      </c>
      <c r="K10" s="12">
        <v>2.38</v>
      </c>
      <c r="L10" s="12">
        <v>95</v>
      </c>
      <c r="M10" s="12">
        <v>80</v>
      </c>
      <c r="N10" s="12">
        <v>0</v>
      </c>
      <c r="O10" s="12">
        <v>6425.73</v>
      </c>
      <c r="P10" s="21">
        <v>184</v>
      </c>
      <c r="Q10" s="21">
        <v>3</v>
      </c>
      <c r="R10" s="21">
        <v>1</v>
      </c>
      <c r="S10" s="15">
        <v>0.85292000000000001</v>
      </c>
    </row>
    <row r="11" spans="1:19" x14ac:dyDescent="0.2">
      <c r="A11" s="12" t="s">
        <v>41</v>
      </c>
      <c r="B11" s="12" t="s">
        <v>33</v>
      </c>
      <c r="C11" s="12" t="s">
        <v>30</v>
      </c>
      <c r="D11" s="12" t="s">
        <v>17</v>
      </c>
      <c r="E11" s="13">
        <v>2</v>
      </c>
      <c r="F11" s="13">
        <v>2</v>
      </c>
      <c r="G11" s="13">
        <v>0.35887028128263693</v>
      </c>
      <c r="H11" s="13">
        <v>2</v>
      </c>
      <c r="I11" s="13">
        <v>2.7033728264357269</v>
      </c>
      <c r="J11" s="12">
        <v>30</v>
      </c>
      <c r="K11" s="12">
        <v>0</v>
      </c>
      <c r="L11" s="12">
        <v>20</v>
      </c>
      <c r="M11" s="12">
        <v>15</v>
      </c>
      <c r="N11" s="12">
        <v>6</v>
      </c>
      <c r="O11" s="12">
        <v>907.19</v>
      </c>
      <c r="P11" s="21">
        <v>82</v>
      </c>
      <c r="Q11" s="21">
        <v>1</v>
      </c>
      <c r="R11" s="21">
        <v>0</v>
      </c>
      <c r="S11" s="15">
        <v>0.74914440000000004</v>
      </c>
    </row>
    <row r="12" spans="1:19" x14ac:dyDescent="0.2">
      <c r="A12" s="12" t="s">
        <v>43</v>
      </c>
      <c r="B12" s="12" t="s">
        <v>44</v>
      </c>
      <c r="C12" s="12" t="s">
        <v>16</v>
      </c>
      <c r="D12" s="12" t="s">
        <v>17</v>
      </c>
      <c r="E12" s="13">
        <v>3</v>
      </c>
      <c r="F12" s="13">
        <v>3.2416666666666671</v>
      </c>
      <c r="G12" s="13">
        <v>1.762848557840061</v>
      </c>
      <c r="H12" s="13">
        <v>3</v>
      </c>
      <c r="I12" s="13">
        <v>6.6967863502315614</v>
      </c>
      <c r="J12" s="12">
        <v>30</v>
      </c>
      <c r="K12" s="12">
        <v>0.61</v>
      </c>
      <c r="L12" s="12">
        <v>5</v>
      </c>
      <c r="M12" s="12">
        <v>10</v>
      </c>
      <c r="N12" s="12">
        <v>0</v>
      </c>
      <c r="O12" s="12">
        <v>9510.68</v>
      </c>
      <c r="P12" s="14">
        <v>117</v>
      </c>
      <c r="Q12" s="14">
        <v>3</v>
      </c>
      <c r="R12" s="14">
        <v>1</v>
      </c>
      <c r="S12" s="15">
        <v>0.85486439999999997</v>
      </c>
    </row>
    <row r="13" spans="1:19" x14ac:dyDescent="0.2">
      <c r="A13" s="12" t="s">
        <v>46</v>
      </c>
      <c r="B13" s="12" t="s">
        <v>44</v>
      </c>
      <c r="C13" s="12" t="s">
        <v>21</v>
      </c>
      <c r="D13" s="12" t="s">
        <v>17</v>
      </c>
      <c r="E13" s="13">
        <v>0</v>
      </c>
      <c r="F13" s="13"/>
      <c r="G13" s="13"/>
      <c r="H13" s="13"/>
      <c r="I13" s="13"/>
      <c r="J13" s="12">
        <v>30</v>
      </c>
      <c r="K13" s="12">
        <v>0.48</v>
      </c>
      <c r="L13" s="12">
        <v>30</v>
      </c>
      <c r="M13" s="12">
        <v>10</v>
      </c>
      <c r="N13" s="12">
        <v>0</v>
      </c>
      <c r="O13" s="12">
        <v>9010.94</v>
      </c>
      <c r="P13" s="14">
        <v>157.4</v>
      </c>
      <c r="Q13" s="14">
        <v>3</v>
      </c>
      <c r="R13" s="14">
        <v>1</v>
      </c>
      <c r="S13" s="15">
        <v>0.90984770000000004</v>
      </c>
    </row>
    <row r="14" spans="1:19" x14ac:dyDescent="0.2">
      <c r="A14" s="12" t="s">
        <v>48</v>
      </c>
      <c r="B14" s="12" t="s">
        <v>44</v>
      </c>
      <c r="C14" s="12" t="s">
        <v>24</v>
      </c>
      <c r="D14" s="12" t="s">
        <v>17</v>
      </c>
      <c r="E14" s="13">
        <v>3</v>
      </c>
      <c r="F14" s="13">
        <v>4.9333333333333336</v>
      </c>
      <c r="G14" s="13">
        <v>2.4075618532399958</v>
      </c>
      <c r="H14" s="13">
        <v>3</v>
      </c>
      <c r="I14" s="13">
        <v>9.6520678562362328</v>
      </c>
      <c r="J14" s="12">
        <v>30</v>
      </c>
      <c r="K14" s="12">
        <v>0.33</v>
      </c>
      <c r="L14" s="12">
        <v>20</v>
      </c>
      <c r="M14" s="12">
        <v>45</v>
      </c>
      <c r="N14" s="12">
        <v>1</v>
      </c>
      <c r="O14" s="12">
        <v>5628.29</v>
      </c>
      <c r="P14" s="14">
        <v>110.3</v>
      </c>
      <c r="Q14" s="14">
        <v>3</v>
      </c>
      <c r="R14" s="14">
        <v>1</v>
      </c>
      <c r="S14" s="15">
        <v>0.46172195999999999</v>
      </c>
    </row>
    <row r="15" spans="1:19" x14ac:dyDescent="0.2">
      <c r="A15" s="12" t="s">
        <v>50</v>
      </c>
      <c r="B15" s="12" t="s">
        <v>44</v>
      </c>
      <c r="C15" s="12" t="s">
        <v>27</v>
      </c>
      <c r="D15" s="12" t="s">
        <v>17</v>
      </c>
      <c r="E15" s="13">
        <v>4</v>
      </c>
      <c r="F15" s="13">
        <v>4.4833333333333334</v>
      </c>
      <c r="G15" s="13">
        <v>1.7293005897863429</v>
      </c>
      <c r="H15" s="13">
        <v>4</v>
      </c>
      <c r="I15" s="13">
        <v>7.8727002077584389</v>
      </c>
      <c r="J15" s="12">
        <v>30</v>
      </c>
      <c r="K15" s="12">
        <v>2.38</v>
      </c>
      <c r="L15" s="12">
        <v>95</v>
      </c>
      <c r="M15" s="12">
        <v>80</v>
      </c>
      <c r="N15" s="12">
        <v>0</v>
      </c>
      <c r="O15" s="12">
        <v>6425.73</v>
      </c>
      <c r="P15" s="21">
        <v>184</v>
      </c>
      <c r="Q15" s="21">
        <v>3</v>
      </c>
      <c r="R15" s="21">
        <v>1</v>
      </c>
      <c r="S15" s="15">
        <v>0.85292000000000001</v>
      </c>
    </row>
    <row r="16" spans="1:19" x14ac:dyDescent="0.2">
      <c r="A16" s="12" t="s">
        <v>52</v>
      </c>
      <c r="B16" s="12" t="s">
        <v>44</v>
      </c>
      <c r="C16" s="12" t="s">
        <v>30</v>
      </c>
      <c r="D16" s="12" t="s">
        <v>17</v>
      </c>
      <c r="E16" s="13">
        <v>3</v>
      </c>
      <c r="F16" s="13">
        <v>5.9</v>
      </c>
      <c r="G16" s="13">
        <v>1.700175389720239</v>
      </c>
      <c r="H16" s="13">
        <v>3</v>
      </c>
      <c r="I16" s="13">
        <v>9.2322825312530181</v>
      </c>
      <c r="J16" s="12">
        <v>30</v>
      </c>
      <c r="K16" s="12">
        <v>0</v>
      </c>
      <c r="L16" s="12">
        <v>20</v>
      </c>
      <c r="M16" s="12">
        <v>15</v>
      </c>
      <c r="N16" s="12">
        <v>6</v>
      </c>
      <c r="O16" s="12">
        <v>907.19</v>
      </c>
      <c r="P16" s="21">
        <v>82</v>
      </c>
      <c r="Q16" s="21">
        <v>1</v>
      </c>
      <c r="R16" s="21">
        <v>0</v>
      </c>
      <c r="S16" s="15">
        <v>0.74914440000000004</v>
      </c>
    </row>
    <row r="17" spans="1:19" x14ac:dyDescent="0.2">
      <c r="A17" s="16" t="s">
        <v>18</v>
      </c>
      <c r="B17" s="16" t="s">
        <v>15</v>
      </c>
      <c r="C17" s="16" t="s">
        <v>16</v>
      </c>
      <c r="D17" s="16" t="s">
        <v>19</v>
      </c>
      <c r="E17" s="16">
        <v>4</v>
      </c>
      <c r="F17" s="17">
        <v>4.954545454545455</v>
      </c>
      <c r="G17" s="17">
        <v>1.2143074883430189</v>
      </c>
      <c r="H17" s="17">
        <v>4</v>
      </c>
      <c r="I17" s="17">
        <v>7.3345443978550637</v>
      </c>
      <c r="J17" s="16"/>
      <c r="K17" s="16">
        <v>1.23</v>
      </c>
      <c r="L17" s="16">
        <v>20</v>
      </c>
      <c r="M17" s="16">
        <v>40</v>
      </c>
      <c r="N17" s="16">
        <v>0</v>
      </c>
      <c r="O17" s="16">
        <v>8637.52</v>
      </c>
      <c r="P17" s="20">
        <v>27.7</v>
      </c>
      <c r="Q17" s="20">
        <v>7</v>
      </c>
      <c r="R17" s="20">
        <v>1</v>
      </c>
      <c r="S17" s="19">
        <v>0.91375214000000005</v>
      </c>
    </row>
    <row r="18" spans="1:19" x14ac:dyDescent="0.2">
      <c r="A18" s="16" t="s">
        <v>22</v>
      </c>
      <c r="B18" s="16" t="s">
        <v>15</v>
      </c>
      <c r="C18" s="16" t="s">
        <v>21</v>
      </c>
      <c r="D18" s="16" t="s">
        <v>19</v>
      </c>
      <c r="E18" s="17">
        <v>3</v>
      </c>
      <c r="F18" s="17">
        <v>3</v>
      </c>
      <c r="G18" s="17">
        <v>0.49659758153469791</v>
      </c>
      <c r="H18" s="17">
        <v>3</v>
      </c>
      <c r="I18" s="17">
        <v>3.973313374617701</v>
      </c>
      <c r="J18" s="16"/>
      <c r="K18" s="16">
        <v>0.48</v>
      </c>
      <c r="L18" s="16">
        <v>40</v>
      </c>
      <c r="M18" s="16">
        <v>65</v>
      </c>
      <c r="N18" s="16">
        <v>0</v>
      </c>
      <c r="O18" s="16">
        <v>8550.3799999999992</v>
      </c>
      <c r="P18" s="20">
        <v>16</v>
      </c>
      <c r="Q18" s="20">
        <v>4</v>
      </c>
      <c r="R18" s="20">
        <v>1</v>
      </c>
      <c r="S18" s="19">
        <v>0.89918569999999998</v>
      </c>
    </row>
    <row r="19" spans="1:19" x14ac:dyDescent="0.2">
      <c r="A19" s="16" t="s">
        <v>25</v>
      </c>
      <c r="B19" s="16" t="s">
        <v>15</v>
      </c>
      <c r="C19" s="16" t="s">
        <v>24</v>
      </c>
      <c r="D19" s="16" t="s">
        <v>19</v>
      </c>
      <c r="E19" s="17">
        <v>2</v>
      </c>
      <c r="F19" s="17">
        <v>2</v>
      </c>
      <c r="G19" s="17">
        <v>0.58373573200342155</v>
      </c>
      <c r="H19" s="17">
        <v>2</v>
      </c>
      <c r="I19" s="17">
        <v>3.144101011215831</v>
      </c>
      <c r="J19" s="16">
        <v>30</v>
      </c>
      <c r="K19" s="16">
        <v>4.67</v>
      </c>
      <c r="L19" s="16">
        <v>0</v>
      </c>
      <c r="M19" s="16">
        <v>0</v>
      </c>
      <c r="N19" s="16">
        <v>5</v>
      </c>
      <c r="O19" s="16">
        <v>5129.76</v>
      </c>
      <c r="P19" s="20">
        <v>5</v>
      </c>
      <c r="Q19" s="20">
        <v>4</v>
      </c>
      <c r="R19" s="20">
        <v>0</v>
      </c>
      <c r="S19" s="19">
        <v>0.90957093</v>
      </c>
    </row>
    <row r="20" spans="1:19" x14ac:dyDescent="0.2">
      <c r="A20" s="16" t="s">
        <v>28</v>
      </c>
      <c r="B20" s="16" t="s">
        <v>15</v>
      </c>
      <c r="C20" s="16" t="s">
        <v>27</v>
      </c>
      <c r="D20" s="16" t="s">
        <v>19</v>
      </c>
      <c r="E20" s="17">
        <v>1</v>
      </c>
      <c r="F20" s="17">
        <v>1</v>
      </c>
      <c r="G20" s="17">
        <v>0</v>
      </c>
      <c r="H20" s="17">
        <v>1</v>
      </c>
      <c r="I20" s="17">
        <v>1</v>
      </c>
      <c r="J20" s="16">
        <v>29</v>
      </c>
      <c r="K20" s="16">
        <v>0</v>
      </c>
      <c r="L20" s="16">
        <v>10</v>
      </c>
      <c r="M20" s="16">
        <v>5</v>
      </c>
      <c r="N20" s="16">
        <v>2</v>
      </c>
      <c r="O20" s="16">
        <v>5814.41</v>
      </c>
      <c r="P20" s="20">
        <v>5.4</v>
      </c>
      <c r="Q20" s="20">
        <v>3</v>
      </c>
      <c r="R20" s="20">
        <v>0</v>
      </c>
      <c r="S20" s="19">
        <v>0.58195490000000005</v>
      </c>
    </row>
    <row r="21" spans="1:19" x14ac:dyDescent="0.2">
      <c r="A21" s="16" t="s">
        <v>31</v>
      </c>
      <c r="B21" s="16" t="s">
        <v>15</v>
      </c>
      <c r="C21" s="16" t="s">
        <v>30</v>
      </c>
      <c r="D21" s="16" t="s">
        <v>19</v>
      </c>
      <c r="E21" s="16">
        <v>1</v>
      </c>
      <c r="F21" s="17">
        <v>1</v>
      </c>
      <c r="G21" s="17">
        <v>0</v>
      </c>
      <c r="H21" s="17">
        <v>1</v>
      </c>
      <c r="I21" s="17">
        <v>1</v>
      </c>
      <c r="J21" s="16">
        <v>30</v>
      </c>
      <c r="K21" s="16">
        <v>0</v>
      </c>
      <c r="L21" s="16">
        <v>75</v>
      </c>
      <c r="M21" s="16">
        <v>50</v>
      </c>
      <c r="N21" s="16">
        <v>11</v>
      </c>
      <c r="O21" s="16">
        <v>576.36</v>
      </c>
      <c r="P21" s="20">
        <v>20.9</v>
      </c>
      <c r="Q21" s="20">
        <v>1</v>
      </c>
      <c r="R21" s="20">
        <v>0</v>
      </c>
      <c r="S21" s="19">
        <v>0.79863220000000001</v>
      </c>
    </row>
    <row r="22" spans="1:19" x14ac:dyDescent="0.2">
      <c r="A22" s="16" t="s">
        <v>34</v>
      </c>
      <c r="B22" s="16" t="s">
        <v>33</v>
      </c>
      <c r="C22" s="16" t="s">
        <v>16</v>
      </c>
      <c r="D22" s="16" t="s">
        <v>19</v>
      </c>
      <c r="E22" s="17">
        <v>3</v>
      </c>
      <c r="F22" s="17">
        <v>3.9705882352941182</v>
      </c>
      <c r="G22" s="17">
        <v>0.55028708417798355</v>
      </c>
      <c r="H22" s="17">
        <v>3</v>
      </c>
      <c r="I22" s="17">
        <v>5.0491311014405262</v>
      </c>
      <c r="J22" s="16">
        <v>33</v>
      </c>
      <c r="K22" s="16">
        <v>1.23</v>
      </c>
      <c r="L22" s="16">
        <v>20</v>
      </c>
      <c r="M22" s="16">
        <v>40</v>
      </c>
      <c r="N22" s="16">
        <v>0</v>
      </c>
      <c r="O22" s="16">
        <v>8637.52</v>
      </c>
      <c r="P22" s="18">
        <v>27.7</v>
      </c>
      <c r="Q22" s="18">
        <v>7</v>
      </c>
      <c r="R22" s="18">
        <v>1</v>
      </c>
      <c r="S22" s="19">
        <v>0.91375214000000005</v>
      </c>
    </row>
    <row r="23" spans="1:19" x14ac:dyDescent="0.2">
      <c r="A23" s="16" t="s">
        <v>36</v>
      </c>
      <c r="B23" s="16" t="s">
        <v>33</v>
      </c>
      <c r="C23" s="16" t="s">
        <v>21</v>
      </c>
      <c r="D23" s="16" t="s">
        <v>19</v>
      </c>
      <c r="E23" s="17">
        <v>1</v>
      </c>
      <c r="F23" s="17">
        <v>1</v>
      </c>
      <c r="G23" s="17">
        <v>0</v>
      </c>
      <c r="H23" s="17">
        <v>1</v>
      </c>
      <c r="I23" s="17">
        <v>1</v>
      </c>
      <c r="J23" s="16">
        <v>31</v>
      </c>
      <c r="K23" s="16">
        <v>0.48</v>
      </c>
      <c r="L23" s="22">
        <v>40</v>
      </c>
      <c r="M23" s="22">
        <v>65</v>
      </c>
      <c r="N23" s="16">
        <v>0</v>
      </c>
      <c r="O23" s="16">
        <v>8550.3799999999992</v>
      </c>
      <c r="P23" s="18">
        <v>16</v>
      </c>
      <c r="Q23" s="18">
        <v>4</v>
      </c>
      <c r="R23" s="18">
        <v>1</v>
      </c>
      <c r="S23" s="19">
        <v>0.89918569999999998</v>
      </c>
    </row>
    <row r="24" spans="1:19" x14ac:dyDescent="0.2">
      <c r="A24" s="16" t="s">
        <v>38</v>
      </c>
      <c r="B24" s="16" t="s">
        <v>33</v>
      </c>
      <c r="C24" s="16" t="s">
        <v>24</v>
      </c>
      <c r="D24" s="16" t="s">
        <v>19</v>
      </c>
      <c r="E24" s="17">
        <v>0</v>
      </c>
      <c r="F24" s="17"/>
      <c r="G24" s="17"/>
      <c r="H24" s="17"/>
      <c r="I24" s="17"/>
      <c r="J24" s="16">
        <v>30</v>
      </c>
      <c r="K24" s="16">
        <v>4.67</v>
      </c>
      <c r="L24" s="16">
        <v>0</v>
      </c>
      <c r="M24" s="16">
        <v>0</v>
      </c>
      <c r="N24" s="16">
        <v>5</v>
      </c>
      <c r="O24" s="16">
        <v>5129.76</v>
      </c>
      <c r="P24" s="18">
        <v>5</v>
      </c>
      <c r="Q24" s="18">
        <v>4</v>
      </c>
      <c r="R24" s="18">
        <v>0</v>
      </c>
      <c r="S24" s="19">
        <v>0.90957093</v>
      </c>
    </row>
    <row r="25" spans="1:19" x14ac:dyDescent="0.2">
      <c r="A25" s="16" t="s">
        <v>40</v>
      </c>
      <c r="B25" s="16" t="s">
        <v>33</v>
      </c>
      <c r="C25" s="16" t="s">
        <v>27</v>
      </c>
      <c r="D25" s="16" t="s">
        <v>19</v>
      </c>
      <c r="E25" s="17">
        <v>4</v>
      </c>
      <c r="F25" s="17">
        <v>4.4833333333333334</v>
      </c>
      <c r="G25" s="17">
        <v>1.930769401716272</v>
      </c>
      <c r="H25" s="17">
        <v>4</v>
      </c>
      <c r="I25" s="17">
        <v>8.2675718231491739</v>
      </c>
      <c r="J25" s="16">
        <v>29</v>
      </c>
      <c r="K25" s="16">
        <v>0</v>
      </c>
      <c r="L25" s="16">
        <v>10</v>
      </c>
      <c r="M25" s="16">
        <v>5</v>
      </c>
      <c r="N25" s="16">
        <v>2</v>
      </c>
      <c r="O25" s="16">
        <v>5814.41</v>
      </c>
      <c r="P25" s="20">
        <v>5.4</v>
      </c>
      <c r="Q25" s="20">
        <v>3</v>
      </c>
      <c r="R25" s="20">
        <v>0</v>
      </c>
      <c r="S25" s="19">
        <v>0.58195490000000005</v>
      </c>
    </row>
    <row r="26" spans="1:19" x14ac:dyDescent="0.2">
      <c r="A26" s="16" t="s">
        <v>42</v>
      </c>
      <c r="B26" s="16" t="s">
        <v>33</v>
      </c>
      <c r="C26" s="16" t="s">
        <v>30</v>
      </c>
      <c r="D26" s="16" t="s">
        <v>19</v>
      </c>
      <c r="E26" s="17">
        <v>0</v>
      </c>
      <c r="F26" s="17"/>
      <c r="G26" s="17"/>
      <c r="H26" s="17"/>
      <c r="I26" s="17"/>
      <c r="J26" s="16">
        <v>30</v>
      </c>
      <c r="K26" s="16">
        <v>0</v>
      </c>
      <c r="L26" s="16">
        <v>75</v>
      </c>
      <c r="M26" s="16">
        <v>50</v>
      </c>
      <c r="N26" s="16">
        <v>11</v>
      </c>
      <c r="O26" s="16">
        <v>576.36</v>
      </c>
      <c r="P26" s="20">
        <v>20.9</v>
      </c>
      <c r="Q26" s="20">
        <v>1</v>
      </c>
      <c r="R26" s="20">
        <v>0</v>
      </c>
      <c r="S26" s="19">
        <v>0.79863220000000001</v>
      </c>
    </row>
    <row r="27" spans="1:19" x14ac:dyDescent="0.2">
      <c r="A27" s="16" t="s">
        <v>45</v>
      </c>
      <c r="B27" s="16" t="s">
        <v>44</v>
      </c>
      <c r="C27" s="16" t="s">
        <v>16</v>
      </c>
      <c r="D27" s="16" t="s">
        <v>19</v>
      </c>
      <c r="E27" s="17">
        <v>4</v>
      </c>
      <c r="F27" s="17">
        <v>4.9666666666666668</v>
      </c>
      <c r="G27" s="17">
        <v>2.325606597618918</v>
      </c>
      <c r="H27" s="17">
        <v>4</v>
      </c>
      <c r="I27" s="17">
        <v>9.5247718402084782</v>
      </c>
      <c r="J27" s="16">
        <v>30</v>
      </c>
      <c r="K27" s="16">
        <v>1.23</v>
      </c>
      <c r="L27" s="16">
        <v>20</v>
      </c>
      <c r="M27" s="16">
        <v>40</v>
      </c>
      <c r="N27" s="16">
        <v>0</v>
      </c>
      <c r="O27" s="16">
        <v>8637.52</v>
      </c>
      <c r="P27" s="20">
        <v>27.7</v>
      </c>
      <c r="Q27" s="20">
        <v>7</v>
      </c>
      <c r="R27" s="20">
        <v>1</v>
      </c>
      <c r="S27" s="19">
        <v>0.91375214000000005</v>
      </c>
    </row>
    <row r="28" spans="1:19" x14ac:dyDescent="0.2">
      <c r="A28" s="16" t="s">
        <v>47</v>
      </c>
      <c r="B28" s="16" t="s">
        <v>44</v>
      </c>
      <c r="C28" s="16" t="s">
        <v>21</v>
      </c>
      <c r="D28" s="16" t="s">
        <v>19</v>
      </c>
      <c r="E28" s="17">
        <v>4</v>
      </c>
      <c r="F28" s="17">
        <v>5.9333333333333336</v>
      </c>
      <c r="G28" s="17">
        <v>2.6189536514765059</v>
      </c>
      <c r="H28" s="17">
        <v>4</v>
      </c>
      <c r="I28" s="17">
        <v>11.06638816740695</v>
      </c>
      <c r="J28" s="16">
        <v>30</v>
      </c>
      <c r="K28" s="16">
        <v>0.48</v>
      </c>
      <c r="L28" s="22">
        <v>40</v>
      </c>
      <c r="M28" s="22">
        <v>65</v>
      </c>
      <c r="N28" s="16">
        <v>0</v>
      </c>
      <c r="O28" s="16">
        <v>8550.3799999999992</v>
      </c>
      <c r="P28" s="20">
        <v>16</v>
      </c>
      <c r="Q28" s="20">
        <v>4</v>
      </c>
      <c r="R28" s="20">
        <v>1</v>
      </c>
      <c r="S28" s="19">
        <v>0.89918569999999998</v>
      </c>
    </row>
    <row r="29" spans="1:19" x14ac:dyDescent="0.2">
      <c r="A29" s="16" t="s">
        <v>49</v>
      </c>
      <c r="B29" s="16" t="s">
        <v>44</v>
      </c>
      <c r="C29" s="16" t="s">
        <v>24</v>
      </c>
      <c r="D29" s="16" t="s">
        <v>19</v>
      </c>
      <c r="E29" s="17">
        <v>3</v>
      </c>
      <c r="F29" s="17">
        <v>3.9666666666666668</v>
      </c>
      <c r="G29" s="17">
        <v>1.6358759371222369</v>
      </c>
      <c r="H29" s="17">
        <v>3</v>
      </c>
      <c r="I29" s="17">
        <v>7.1729245866019609</v>
      </c>
      <c r="J29" s="16">
        <v>30</v>
      </c>
      <c r="K29" s="16">
        <v>4.67</v>
      </c>
      <c r="L29" s="16">
        <v>0</v>
      </c>
      <c r="M29" s="16">
        <v>0</v>
      </c>
      <c r="N29" s="16">
        <v>5</v>
      </c>
      <c r="O29" s="16">
        <v>5129.76</v>
      </c>
      <c r="P29" s="20">
        <v>5</v>
      </c>
      <c r="Q29" s="20">
        <v>4</v>
      </c>
      <c r="R29" s="20">
        <v>0</v>
      </c>
      <c r="S29" s="19">
        <v>0.90957093</v>
      </c>
    </row>
    <row r="30" spans="1:19" x14ac:dyDescent="0.2">
      <c r="A30" s="16" t="s">
        <v>51</v>
      </c>
      <c r="B30" s="16" t="s">
        <v>44</v>
      </c>
      <c r="C30" s="16" t="s">
        <v>27</v>
      </c>
      <c r="D30" s="16" t="s">
        <v>19</v>
      </c>
      <c r="E30" s="17">
        <v>4</v>
      </c>
      <c r="F30" s="17">
        <v>8.35</v>
      </c>
      <c r="G30" s="17">
        <v>4.7702457943005996</v>
      </c>
      <c r="H30" s="17">
        <v>4</v>
      </c>
      <c r="I30" s="17">
        <v>17.699509954232841</v>
      </c>
      <c r="J30" s="16">
        <v>30</v>
      </c>
      <c r="K30" s="16">
        <v>0</v>
      </c>
      <c r="L30" s="16">
        <v>10</v>
      </c>
      <c r="M30" s="16">
        <v>5</v>
      </c>
      <c r="N30" s="16">
        <v>2</v>
      </c>
      <c r="O30" s="16">
        <v>5814.41</v>
      </c>
      <c r="P30" s="20">
        <v>5.4</v>
      </c>
      <c r="Q30" s="20">
        <v>3</v>
      </c>
      <c r="R30" s="20">
        <v>0</v>
      </c>
      <c r="S30" s="19">
        <v>0.58195490000000005</v>
      </c>
    </row>
    <row r="31" spans="1:19" x14ac:dyDescent="0.2">
      <c r="A31" s="16" t="s">
        <v>53</v>
      </c>
      <c r="B31" s="16" t="s">
        <v>44</v>
      </c>
      <c r="C31" s="16" t="s">
        <v>30</v>
      </c>
      <c r="D31" s="16" t="s">
        <v>19</v>
      </c>
      <c r="E31" s="17">
        <v>4</v>
      </c>
      <c r="F31" s="17">
        <v>9.8000000000000007</v>
      </c>
      <c r="G31" s="17">
        <v>2.8343578059782129</v>
      </c>
      <c r="H31" s="17">
        <v>4.2447607809827366</v>
      </c>
      <c r="I31" s="17">
        <v>15.35523921901726</v>
      </c>
      <c r="J31" s="16">
        <v>30</v>
      </c>
      <c r="K31" s="16">
        <v>0</v>
      </c>
      <c r="L31" s="16">
        <v>75</v>
      </c>
      <c r="M31" s="16">
        <v>50</v>
      </c>
      <c r="N31" s="16">
        <v>11</v>
      </c>
      <c r="O31" s="16">
        <v>576.36</v>
      </c>
      <c r="P31" s="20">
        <v>20.9</v>
      </c>
      <c r="Q31" s="20">
        <v>1</v>
      </c>
      <c r="R31" s="20">
        <v>0</v>
      </c>
      <c r="S31" s="19">
        <v>0.79863220000000001</v>
      </c>
    </row>
    <row r="32" spans="1:19" x14ac:dyDescent="0.2">
      <c r="A32" s="14" t="s">
        <v>71</v>
      </c>
      <c r="B32" s="13"/>
      <c r="C32" s="13"/>
      <c r="D32" s="13"/>
      <c r="E32" s="13"/>
      <c r="F32" s="13"/>
      <c r="G32" s="13"/>
      <c r="H32" s="13"/>
      <c r="I32" s="13"/>
      <c r="J32" s="13"/>
      <c r="K32" s="13">
        <f t="shared" ref="K32:Q32" si="0">AVERAGE(K2:K16)</f>
        <v>0.76000000000000012</v>
      </c>
      <c r="L32" s="13">
        <f t="shared" si="0"/>
        <v>34</v>
      </c>
      <c r="M32" s="13">
        <f t="shared" si="0"/>
        <v>32</v>
      </c>
      <c r="N32" s="13">
        <f t="shared" si="0"/>
        <v>1.4</v>
      </c>
      <c r="O32" s="13">
        <f t="shared" si="0"/>
        <v>6296.5659999999998</v>
      </c>
      <c r="P32" s="13">
        <f t="shared" si="0"/>
        <v>130.14000000000001</v>
      </c>
      <c r="Q32" s="13">
        <f t="shared" si="0"/>
        <v>2.6</v>
      </c>
      <c r="R32" s="13"/>
      <c r="S32" s="13">
        <f>AVERAGE(S2:S16)</f>
        <v>0.7656996920000001</v>
      </c>
    </row>
    <row r="33" spans="1:19" x14ac:dyDescent="0.2">
      <c r="A33" s="14" t="s">
        <v>73</v>
      </c>
      <c r="B33" s="13"/>
      <c r="C33" s="13"/>
      <c r="D33" s="13"/>
      <c r="E33" s="13"/>
      <c r="F33" s="13"/>
      <c r="G33" s="13"/>
      <c r="H33" s="13"/>
      <c r="I33" s="13"/>
      <c r="J33" s="13"/>
      <c r="K33" s="13">
        <f t="shared" ref="K33:Q33" si="1">_xlfn.STDEV.S(K2:K16)</f>
        <v>0.8645147276279993</v>
      </c>
      <c r="L33" s="13">
        <f t="shared" si="1"/>
        <v>32.634337744161442</v>
      </c>
      <c r="M33" s="13">
        <f t="shared" si="1"/>
        <v>28.27164152089005</v>
      </c>
      <c r="N33" s="13">
        <f t="shared" si="1"/>
        <v>2.4142434484888695</v>
      </c>
      <c r="O33" s="13">
        <f t="shared" si="1"/>
        <v>3180.5324634177668</v>
      </c>
      <c r="P33" s="13">
        <f t="shared" si="1"/>
        <v>37.400588230668241</v>
      </c>
      <c r="Q33" s="13">
        <f t="shared" si="1"/>
        <v>0.82807867121082479</v>
      </c>
      <c r="R33" s="13"/>
      <c r="S33" s="13">
        <f>_xlfn.STDEV.S(S2:S16)</f>
        <v>0.16626973442643669</v>
      </c>
    </row>
    <row r="34" spans="1:19" x14ac:dyDescent="0.2">
      <c r="A34" s="14" t="s">
        <v>75</v>
      </c>
      <c r="B34" s="13"/>
      <c r="C34" s="13"/>
      <c r="D34" s="13"/>
      <c r="E34" s="13"/>
      <c r="F34" s="13"/>
      <c r="G34" s="13"/>
      <c r="H34" s="13"/>
      <c r="I34" s="13"/>
      <c r="J34" s="13"/>
      <c r="K34" s="13">
        <f>MIN(K2:K16)</f>
        <v>0</v>
      </c>
      <c r="L34" s="13">
        <v>5</v>
      </c>
      <c r="M34" s="13">
        <v>10</v>
      </c>
      <c r="N34" s="13">
        <v>0</v>
      </c>
      <c r="O34" s="13">
        <f>MIN(O2:O16)</f>
        <v>907.19</v>
      </c>
      <c r="P34" s="13">
        <f>MIN(P2:P16)</f>
        <v>82</v>
      </c>
      <c r="Q34" s="13">
        <v>1</v>
      </c>
      <c r="R34" s="13"/>
      <c r="S34" s="13">
        <f>MIN(S2:S16)</f>
        <v>0.46172195999999999</v>
      </c>
    </row>
    <row r="35" spans="1:19" x14ac:dyDescent="0.2">
      <c r="A35" s="14" t="s">
        <v>77</v>
      </c>
      <c r="B35" s="13"/>
      <c r="C35" s="13"/>
      <c r="D35" s="13"/>
      <c r="E35" s="13"/>
      <c r="F35" s="13"/>
      <c r="G35" s="13"/>
      <c r="H35" s="13"/>
      <c r="I35" s="13"/>
      <c r="J35" s="13"/>
      <c r="K35" s="13">
        <f>MAX(K2:K16)</f>
        <v>2.38</v>
      </c>
      <c r="L35" s="13">
        <v>95</v>
      </c>
      <c r="M35" s="13">
        <v>80</v>
      </c>
      <c r="N35" s="13">
        <v>6</v>
      </c>
      <c r="O35" s="13">
        <f>MAX(O2:O16)</f>
        <v>9510.68</v>
      </c>
      <c r="P35" s="13">
        <f>MAX(P2:P16)</f>
        <v>184</v>
      </c>
      <c r="Q35" s="13">
        <v>3</v>
      </c>
      <c r="R35" s="13"/>
      <c r="S35" s="13">
        <f>MAX(S2:S16)</f>
        <v>0.90984770000000004</v>
      </c>
    </row>
    <row r="36" spans="1:19" x14ac:dyDescent="0.2">
      <c r="A36" s="18" t="s">
        <v>72</v>
      </c>
      <c r="B36" s="17"/>
      <c r="C36" s="17"/>
      <c r="D36" s="17"/>
      <c r="E36" s="17"/>
      <c r="F36" s="17"/>
      <c r="G36" s="17"/>
      <c r="H36" s="17"/>
      <c r="I36" s="17"/>
      <c r="J36" s="17"/>
      <c r="K36" s="17">
        <f>AVERAGE(K10:K24)</f>
        <v>1.2626666666666668</v>
      </c>
      <c r="L36" s="17">
        <f t="shared" ref="L36:Q36" si="2">AVERAGE(L17:L31)</f>
        <v>29</v>
      </c>
      <c r="M36" s="17">
        <f t="shared" si="2"/>
        <v>32</v>
      </c>
      <c r="N36" s="17">
        <f t="shared" si="2"/>
        <v>3.6</v>
      </c>
      <c r="O36" s="17">
        <f t="shared" si="2"/>
        <v>5741.6860000000006</v>
      </c>
      <c r="P36" s="17">
        <f t="shared" si="2"/>
        <v>15</v>
      </c>
      <c r="Q36" s="17">
        <f t="shared" si="2"/>
        <v>3.8</v>
      </c>
      <c r="R36" s="17"/>
      <c r="S36" s="17">
        <f>AVERAGE(S17:S31)</f>
        <v>0.82061917399999984</v>
      </c>
    </row>
    <row r="37" spans="1:19" x14ac:dyDescent="0.2">
      <c r="A37" s="18" t="s">
        <v>74</v>
      </c>
      <c r="B37" s="17"/>
      <c r="C37" s="17"/>
      <c r="D37" s="17"/>
      <c r="E37" s="17"/>
      <c r="F37" s="17"/>
      <c r="G37" s="17"/>
      <c r="H37" s="17"/>
      <c r="I37" s="17"/>
      <c r="J37" s="17"/>
      <c r="K37" s="17">
        <f t="shared" ref="K37:Q37" si="3">_xlfn.STDEV.S(K17:K31)</f>
        <v>1.8172577456942409</v>
      </c>
      <c r="L37" s="17">
        <f t="shared" si="3"/>
        <v>27.46426249302381</v>
      </c>
      <c r="M37" s="17">
        <f t="shared" si="3"/>
        <v>26.308608042670315</v>
      </c>
      <c r="N37" s="17">
        <f t="shared" si="3"/>
        <v>4.2728377990678341</v>
      </c>
      <c r="O37" s="17">
        <f t="shared" si="3"/>
        <v>3047.3038939757871</v>
      </c>
      <c r="P37" s="17">
        <f t="shared" si="3"/>
        <v>9.1330639515365917</v>
      </c>
      <c r="Q37" s="17">
        <f t="shared" si="3"/>
        <v>2.0071301473923979</v>
      </c>
      <c r="R37" s="17"/>
      <c r="S37" s="17">
        <f>_xlfn.STDEV.S(S17:S31)</f>
        <v>0.13109668675837322</v>
      </c>
    </row>
    <row r="38" spans="1:19" x14ac:dyDescent="0.2">
      <c r="A38" s="18" t="s">
        <v>76</v>
      </c>
      <c r="B38" s="17"/>
      <c r="C38" s="17"/>
      <c r="D38" s="17"/>
      <c r="E38" s="17"/>
      <c r="F38" s="17"/>
      <c r="G38" s="17"/>
      <c r="H38" s="17"/>
      <c r="I38" s="17"/>
      <c r="J38" s="17"/>
      <c r="K38" s="17">
        <f>MIN(K17:K31)</f>
        <v>0</v>
      </c>
      <c r="L38" s="17">
        <v>0</v>
      </c>
      <c r="M38" s="17">
        <v>0</v>
      </c>
      <c r="N38" s="17">
        <v>0</v>
      </c>
      <c r="O38" s="17">
        <f>MIN(O17:O31)</f>
        <v>576.36</v>
      </c>
      <c r="P38" s="17">
        <f>MIN(P17:P31)</f>
        <v>5</v>
      </c>
      <c r="Q38" s="17">
        <v>1</v>
      </c>
      <c r="R38" s="17"/>
      <c r="S38" s="17">
        <f>MIN(S17:S31)</f>
        <v>0.58195490000000005</v>
      </c>
    </row>
    <row r="39" spans="1:19" x14ac:dyDescent="0.2">
      <c r="A39" s="18" t="s">
        <v>78</v>
      </c>
      <c r="B39" s="17"/>
      <c r="C39" s="17"/>
      <c r="D39" s="17"/>
      <c r="E39" s="17"/>
      <c r="F39" s="17"/>
      <c r="G39" s="17"/>
      <c r="H39" s="17"/>
      <c r="I39" s="17"/>
      <c r="J39" s="17"/>
      <c r="K39" s="17">
        <f>MAX(K17:K31)</f>
        <v>4.67</v>
      </c>
      <c r="L39" s="17">
        <v>75</v>
      </c>
      <c r="M39" s="17">
        <v>65</v>
      </c>
      <c r="N39" s="17">
        <v>11</v>
      </c>
      <c r="O39" s="17">
        <f>MAX(O17:O31)</f>
        <v>8637.52</v>
      </c>
      <c r="P39" s="17">
        <f>MAX(P17:P31)</f>
        <v>27.7</v>
      </c>
      <c r="Q39" s="17">
        <v>7</v>
      </c>
      <c r="R39" s="17"/>
      <c r="S39" s="17">
        <f>MAX(S17:S31)</f>
        <v>0.91375214000000005</v>
      </c>
    </row>
    <row r="41" spans="1:19" x14ac:dyDescent="0.2">
      <c r="A41" s="6"/>
    </row>
  </sheetData>
  <sortState xmlns:xlrd2="http://schemas.microsoft.com/office/spreadsheetml/2017/richdata2" ref="A2:S31">
    <sortCondition ref="D1:D3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363C-FA32-EA40-8B15-71975E245734}">
  <dimension ref="A1:E51"/>
  <sheetViews>
    <sheetView workbookViewId="0">
      <selection activeCell="C2" sqref="C2"/>
    </sheetView>
  </sheetViews>
  <sheetFormatPr baseColWidth="10" defaultRowHeight="16" x14ac:dyDescent="0.2"/>
  <sheetData>
    <row r="1" spans="1:5" x14ac:dyDescent="0.2">
      <c r="A1" s="11" t="s">
        <v>2</v>
      </c>
      <c r="B1" s="11" t="s">
        <v>44</v>
      </c>
      <c r="C1" s="4" t="s">
        <v>3</v>
      </c>
      <c r="D1" s="4" t="s">
        <v>4</v>
      </c>
      <c r="E1" s="8" t="s">
        <v>56</v>
      </c>
    </row>
    <row r="2" spans="1:5" x14ac:dyDescent="0.2">
      <c r="A2" t="s">
        <v>16</v>
      </c>
      <c r="B2">
        <v>1</v>
      </c>
    </row>
    <row r="3" spans="1:5" x14ac:dyDescent="0.2">
      <c r="B3">
        <v>2</v>
      </c>
    </row>
    <row r="4" spans="1:5" x14ac:dyDescent="0.2">
      <c r="B4">
        <v>3</v>
      </c>
    </row>
    <row r="5" spans="1:5" x14ac:dyDescent="0.2">
      <c r="B5">
        <v>4</v>
      </c>
    </row>
    <row r="6" spans="1:5" x14ac:dyDescent="0.2">
      <c r="B6">
        <v>5</v>
      </c>
    </row>
    <row r="7" spans="1:5" x14ac:dyDescent="0.2">
      <c r="B7">
        <v>6</v>
      </c>
    </row>
    <row r="8" spans="1:5" x14ac:dyDescent="0.2">
      <c r="B8">
        <v>7</v>
      </c>
    </row>
    <row r="9" spans="1:5" x14ac:dyDescent="0.2">
      <c r="B9">
        <v>8</v>
      </c>
    </row>
    <row r="10" spans="1:5" x14ac:dyDescent="0.2">
      <c r="B10">
        <v>9</v>
      </c>
    </row>
    <row r="11" spans="1:5" x14ac:dyDescent="0.2">
      <c r="B11">
        <v>10</v>
      </c>
    </row>
    <row r="12" spans="1:5" x14ac:dyDescent="0.2">
      <c r="B12">
        <v>1</v>
      </c>
    </row>
    <row r="13" spans="1:5" x14ac:dyDescent="0.2">
      <c r="B13">
        <v>2</v>
      </c>
    </row>
    <row r="14" spans="1:5" x14ac:dyDescent="0.2">
      <c r="B14">
        <v>3</v>
      </c>
    </row>
    <row r="15" spans="1:5" x14ac:dyDescent="0.2">
      <c r="B15">
        <v>4</v>
      </c>
    </row>
    <row r="16" spans="1:5" x14ac:dyDescent="0.2">
      <c r="B16">
        <v>5</v>
      </c>
    </row>
    <row r="17" spans="2:2" x14ac:dyDescent="0.2">
      <c r="B17">
        <v>6</v>
      </c>
    </row>
    <row r="18" spans="2:2" x14ac:dyDescent="0.2">
      <c r="B18">
        <v>7</v>
      </c>
    </row>
    <row r="19" spans="2:2" x14ac:dyDescent="0.2">
      <c r="B19">
        <v>8</v>
      </c>
    </row>
    <row r="20" spans="2:2" x14ac:dyDescent="0.2">
      <c r="B20">
        <v>9</v>
      </c>
    </row>
    <row r="21" spans="2:2" x14ac:dyDescent="0.2">
      <c r="B21">
        <v>10</v>
      </c>
    </row>
    <row r="22" spans="2:2" x14ac:dyDescent="0.2">
      <c r="B22">
        <v>1</v>
      </c>
    </row>
    <row r="23" spans="2:2" x14ac:dyDescent="0.2">
      <c r="B23">
        <v>2</v>
      </c>
    </row>
    <row r="24" spans="2:2" x14ac:dyDescent="0.2">
      <c r="B24">
        <v>3</v>
      </c>
    </row>
    <row r="25" spans="2:2" x14ac:dyDescent="0.2">
      <c r="B25">
        <v>4</v>
      </c>
    </row>
    <row r="26" spans="2:2" x14ac:dyDescent="0.2">
      <c r="B26">
        <v>5</v>
      </c>
    </row>
    <row r="27" spans="2:2" x14ac:dyDescent="0.2">
      <c r="B27">
        <v>6</v>
      </c>
    </row>
    <row r="28" spans="2:2" x14ac:dyDescent="0.2">
      <c r="B28">
        <v>7</v>
      </c>
    </row>
    <row r="29" spans="2:2" x14ac:dyDescent="0.2">
      <c r="B29">
        <v>8</v>
      </c>
    </row>
    <row r="30" spans="2:2" x14ac:dyDescent="0.2">
      <c r="B30">
        <v>9</v>
      </c>
    </row>
    <row r="31" spans="2:2" x14ac:dyDescent="0.2">
      <c r="B31">
        <v>10</v>
      </c>
    </row>
    <row r="32" spans="2:2" x14ac:dyDescent="0.2">
      <c r="B32">
        <v>1</v>
      </c>
    </row>
    <row r="33" spans="2:2" x14ac:dyDescent="0.2">
      <c r="B33">
        <v>2</v>
      </c>
    </row>
    <row r="34" spans="2:2" x14ac:dyDescent="0.2">
      <c r="B34">
        <v>3</v>
      </c>
    </row>
    <row r="35" spans="2:2" x14ac:dyDescent="0.2">
      <c r="B35">
        <v>4</v>
      </c>
    </row>
    <row r="36" spans="2:2" x14ac:dyDescent="0.2">
      <c r="B36">
        <v>5</v>
      </c>
    </row>
    <row r="37" spans="2:2" x14ac:dyDescent="0.2">
      <c r="B37">
        <v>6</v>
      </c>
    </row>
    <row r="38" spans="2:2" x14ac:dyDescent="0.2">
      <c r="B38">
        <v>7</v>
      </c>
    </row>
    <row r="39" spans="2:2" x14ac:dyDescent="0.2">
      <c r="B39">
        <v>8</v>
      </c>
    </row>
    <row r="40" spans="2:2" x14ac:dyDescent="0.2">
      <c r="B40">
        <v>9</v>
      </c>
    </row>
    <row r="41" spans="2:2" x14ac:dyDescent="0.2">
      <c r="B41">
        <v>10</v>
      </c>
    </row>
    <row r="42" spans="2:2" x14ac:dyDescent="0.2">
      <c r="B42">
        <v>1</v>
      </c>
    </row>
    <row r="43" spans="2:2" x14ac:dyDescent="0.2">
      <c r="B43">
        <v>2</v>
      </c>
    </row>
    <row r="44" spans="2:2" x14ac:dyDescent="0.2">
      <c r="B44">
        <v>3</v>
      </c>
    </row>
    <row r="45" spans="2:2" x14ac:dyDescent="0.2">
      <c r="B45">
        <v>4</v>
      </c>
    </row>
    <row r="46" spans="2:2" x14ac:dyDescent="0.2">
      <c r="B46">
        <v>5</v>
      </c>
    </row>
    <row r="47" spans="2:2" x14ac:dyDescent="0.2">
      <c r="B47">
        <v>6</v>
      </c>
    </row>
    <row r="48" spans="2:2" x14ac:dyDescent="0.2">
      <c r="B48">
        <v>7</v>
      </c>
    </row>
    <row r="49" spans="2:2" x14ac:dyDescent="0.2">
      <c r="B49">
        <v>8</v>
      </c>
    </row>
    <row r="50" spans="2:2" x14ac:dyDescent="0.2">
      <c r="B50">
        <v>9</v>
      </c>
    </row>
    <row r="51" spans="2:2" x14ac:dyDescent="0.2">
      <c r="B5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CB7E-85C7-5641-BE13-22D80D67C662}">
  <dimension ref="A1:N31"/>
  <sheetViews>
    <sheetView workbookViewId="0">
      <selection activeCell="B1" sqref="B1"/>
    </sheetView>
  </sheetViews>
  <sheetFormatPr baseColWidth="10" defaultRowHeight="16" x14ac:dyDescent="0.2"/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9</v>
      </c>
      <c r="G1" s="4" t="s">
        <v>10</v>
      </c>
      <c r="H1" s="5" t="s">
        <v>11</v>
      </c>
      <c r="I1" s="5" t="s">
        <v>12</v>
      </c>
      <c r="J1" s="4" t="s">
        <v>13</v>
      </c>
      <c r="K1" s="4" t="s">
        <v>54</v>
      </c>
      <c r="L1" s="8" t="s">
        <v>56</v>
      </c>
      <c r="M1" s="1" t="s">
        <v>55</v>
      </c>
      <c r="N1" s="8" t="s">
        <v>59</v>
      </c>
    </row>
    <row r="2" spans="1:14" x14ac:dyDescent="0.2">
      <c r="A2" s="2" t="s">
        <v>14</v>
      </c>
      <c r="B2" s="2" t="s">
        <v>15</v>
      </c>
      <c r="C2" s="2" t="s">
        <v>16</v>
      </c>
      <c r="D2" s="2" t="s">
        <v>17</v>
      </c>
      <c r="F2" s="2">
        <v>33</v>
      </c>
      <c r="G2" s="2">
        <v>0.61</v>
      </c>
      <c r="H2" s="2">
        <v>5</v>
      </c>
      <c r="I2" s="2">
        <v>10</v>
      </c>
      <c r="J2" s="2">
        <v>0</v>
      </c>
      <c r="K2" s="2">
        <v>9510.68</v>
      </c>
      <c r="L2" s="6">
        <v>117</v>
      </c>
      <c r="M2" s="6">
        <v>3</v>
      </c>
      <c r="N2" s="10">
        <v>0.85486439999999997</v>
      </c>
    </row>
    <row r="3" spans="1:14" x14ac:dyDescent="0.2">
      <c r="A3" s="2" t="s">
        <v>18</v>
      </c>
      <c r="B3" s="2" t="s">
        <v>15</v>
      </c>
      <c r="C3" s="2" t="s">
        <v>16</v>
      </c>
      <c r="D3" s="2" t="s">
        <v>19</v>
      </c>
      <c r="F3" s="2">
        <v>21</v>
      </c>
      <c r="G3" s="2">
        <v>1.23</v>
      </c>
      <c r="H3" s="2">
        <v>20</v>
      </c>
      <c r="I3" s="2">
        <v>40</v>
      </c>
      <c r="J3" s="2">
        <v>0</v>
      </c>
      <c r="K3" s="2">
        <v>8637.52</v>
      </c>
      <c r="L3" s="6">
        <v>27.7</v>
      </c>
      <c r="M3" s="6">
        <v>7</v>
      </c>
      <c r="N3" s="10">
        <v>0.91375214000000005</v>
      </c>
    </row>
    <row r="4" spans="1:14" x14ac:dyDescent="0.2">
      <c r="A4" s="2" t="s">
        <v>20</v>
      </c>
      <c r="B4" s="2" t="s">
        <v>15</v>
      </c>
      <c r="C4" s="2" t="s">
        <v>21</v>
      </c>
      <c r="D4" s="2" t="s">
        <v>17</v>
      </c>
      <c r="F4" s="2">
        <v>19</v>
      </c>
      <c r="G4" s="2">
        <v>0.48</v>
      </c>
      <c r="H4" s="2">
        <v>30</v>
      </c>
      <c r="I4" s="2">
        <v>10</v>
      </c>
      <c r="J4" s="2">
        <v>0</v>
      </c>
      <c r="K4" s="2">
        <v>9010.94</v>
      </c>
      <c r="L4" s="6">
        <v>157.4</v>
      </c>
      <c r="M4" s="6">
        <v>3</v>
      </c>
      <c r="N4" s="10">
        <v>0.90984770000000004</v>
      </c>
    </row>
    <row r="5" spans="1:14" x14ac:dyDescent="0.2">
      <c r="A5" s="2" t="s">
        <v>22</v>
      </c>
      <c r="B5" s="2" t="s">
        <v>15</v>
      </c>
      <c r="C5" s="2" t="s">
        <v>21</v>
      </c>
      <c r="D5" s="2" t="s">
        <v>19</v>
      </c>
      <c r="F5" s="2">
        <v>31</v>
      </c>
      <c r="G5" s="2">
        <v>0.48</v>
      </c>
      <c r="H5" s="2">
        <v>40</v>
      </c>
      <c r="I5" s="2">
        <v>65</v>
      </c>
      <c r="J5" s="2">
        <v>0</v>
      </c>
      <c r="K5" s="2">
        <v>8550.3799999999992</v>
      </c>
      <c r="L5" s="7">
        <v>16</v>
      </c>
      <c r="M5" s="7">
        <v>4</v>
      </c>
      <c r="N5" s="10">
        <v>0.89918569999999998</v>
      </c>
    </row>
    <row r="6" spans="1:14" x14ac:dyDescent="0.2">
      <c r="A6" s="2" t="s">
        <v>23</v>
      </c>
      <c r="B6" s="2" t="s">
        <v>15</v>
      </c>
      <c r="C6" s="2" t="s">
        <v>24</v>
      </c>
      <c r="D6" s="2" t="s">
        <v>17</v>
      </c>
      <c r="F6" s="2">
        <v>30</v>
      </c>
      <c r="G6" s="2">
        <v>0.33</v>
      </c>
      <c r="H6" s="2">
        <v>20</v>
      </c>
      <c r="I6" s="2">
        <v>45</v>
      </c>
      <c r="J6" s="2">
        <v>0</v>
      </c>
      <c r="K6" s="2">
        <v>5628.29</v>
      </c>
      <c r="L6" s="7">
        <v>110.3</v>
      </c>
      <c r="M6" s="7">
        <v>3</v>
      </c>
      <c r="N6" s="10">
        <v>0.46172195999999999</v>
      </c>
    </row>
    <row r="7" spans="1:14" x14ac:dyDescent="0.2">
      <c r="A7" s="2" t="s">
        <v>25</v>
      </c>
      <c r="B7" s="2" t="s">
        <v>15</v>
      </c>
      <c r="C7" s="2" t="s">
        <v>24</v>
      </c>
      <c r="D7" s="2" t="s">
        <v>19</v>
      </c>
      <c r="F7" s="2">
        <v>30</v>
      </c>
      <c r="G7" s="2">
        <v>4.67</v>
      </c>
      <c r="H7" s="2">
        <v>0</v>
      </c>
      <c r="I7" s="2">
        <v>0</v>
      </c>
      <c r="J7" s="2">
        <v>1</v>
      </c>
      <c r="K7" s="2">
        <v>5129.76</v>
      </c>
      <c r="L7" s="7">
        <v>5</v>
      </c>
      <c r="M7" s="7">
        <v>4</v>
      </c>
      <c r="N7" s="10">
        <v>0.90957093</v>
      </c>
    </row>
    <row r="8" spans="1:14" x14ac:dyDescent="0.2">
      <c r="A8" s="2" t="s">
        <v>26</v>
      </c>
      <c r="B8" s="2" t="s">
        <v>15</v>
      </c>
      <c r="C8" s="2" t="s">
        <v>27</v>
      </c>
      <c r="D8" s="2" t="s">
        <v>17</v>
      </c>
      <c r="F8" s="2">
        <v>21</v>
      </c>
      <c r="G8" s="2">
        <v>2.38</v>
      </c>
      <c r="H8" s="2">
        <v>95</v>
      </c>
      <c r="I8" s="2">
        <v>80</v>
      </c>
      <c r="J8" s="2">
        <v>0</v>
      </c>
      <c r="K8" s="2">
        <v>6425.73</v>
      </c>
      <c r="L8" s="7">
        <v>184</v>
      </c>
      <c r="M8" s="7">
        <v>3</v>
      </c>
      <c r="N8" s="10">
        <v>0.85292000000000001</v>
      </c>
    </row>
    <row r="9" spans="1:14" x14ac:dyDescent="0.2">
      <c r="A9" s="2" t="s">
        <v>28</v>
      </c>
      <c r="B9" s="2" t="s">
        <v>15</v>
      </c>
      <c r="C9" s="2" t="s">
        <v>27</v>
      </c>
      <c r="D9" s="2" t="s">
        <v>19</v>
      </c>
      <c r="F9" s="2">
        <v>29</v>
      </c>
      <c r="G9" s="2">
        <v>0</v>
      </c>
      <c r="H9" s="2">
        <v>10</v>
      </c>
      <c r="I9" s="2">
        <v>5</v>
      </c>
      <c r="J9" s="2">
        <v>0</v>
      </c>
      <c r="K9" s="2">
        <v>5814.41</v>
      </c>
      <c r="L9" s="7">
        <v>5.4</v>
      </c>
      <c r="M9" s="7">
        <v>3</v>
      </c>
      <c r="N9" s="10">
        <v>0.58195490000000005</v>
      </c>
    </row>
    <row r="10" spans="1:14" x14ac:dyDescent="0.2">
      <c r="A10" s="2" t="s">
        <v>29</v>
      </c>
      <c r="B10" s="2" t="s">
        <v>15</v>
      </c>
      <c r="C10" s="2" t="s">
        <v>30</v>
      </c>
      <c r="D10" s="2" t="s">
        <v>17</v>
      </c>
      <c r="F10" s="2">
        <v>30</v>
      </c>
      <c r="G10" s="2">
        <v>0</v>
      </c>
      <c r="H10" s="2">
        <v>20</v>
      </c>
      <c r="I10" s="2">
        <v>15</v>
      </c>
      <c r="J10" s="2">
        <v>1</v>
      </c>
      <c r="K10" s="2">
        <v>907.19</v>
      </c>
      <c r="L10" s="7">
        <v>82</v>
      </c>
      <c r="M10" s="7">
        <v>1</v>
      </c>
      <c r="N10" s="10">
        <v>0.74914440000000004</v>
      </c>
    </row>
    <row r="11" spans="1:14" x14ac:dyDescent="0.2">
      <c r="A11" s="2" t="s">
        <v>31</v>
      </c>
      <c r="B11" s="2" t="s">
        <v>15</v>
      </c>
      <c r="C11" s="2" t="s">
        <v>30</v>
      </c>
      <c r="D11" s="2" t="s">
        <v>19</v>
      </c>
      <c r="F11" s="2">
        <v>30</v>
      </c>
      <c r="G11" s="2">
        <v>0</v>
      </c>
      <c r="H11" s="2">
        <v>75</v>
      </c>
      <c r="I11" s="2">
        <v>50</v>
      </c>
      <c r="J11" s="2">
        <v>1</v>
      </c>
      <c r="K11" s="2">
        <v>576.36</v>
      </c>
      <c r="L11" s="7">
        <v>20.9</v>
      </c>
      <c r="M11" s="7">
        <v>1</v>
      </c>
      <c r="N11" s="10">
        <v>0.79863220000000001</v>
      </c>
    </row>
    <row r="12" spans="1:14" x14ac:dyDescent="0.2">
      <c r="A12" s="2" t="s">
        <v>32</v>
      </c>
      <c r="B12" s="2" t="s">
        <v>33</v>
      </c>
      <c r="C12" s="2" t="s">
        <v>16</v>
      </c>
      <c r="D12" s="2" t="s">
        <v>17</v>
      </c>
      <c r="F12" s="2">
        <v>33</v>
      </c>
      <c r="G12" s="2">
        <v>0.61</v>
      </c>
      <c r="H12" s="2">
        <v>5</v>
      </c>
      <c r="I12" s="2">
        <v>10</v>
      </c>
      <c r="J12" s="2">
        <v>0</v>
      </c>
      <c r="K12" s="2">
        <v>9510.68</v>
      </c>
      <c r="L12" s="6">
        <v>117</v>
      </c>
      <c r="M12" s="6">
        <v>3</v>
      </c>
      <c r="N12" s="10">
        <v>0.85486439999999997</v>
      </c>
    </row>
    <row r="13" spans="1:14" x14ac:dyDescent="0.2">
      <c r="A13" s="2" t="s">
        <v>34</v>
      </c>
      <c r="B13" s="2" t="s">
        <v>33</v>
      </c>
      <c r="C13" s="2" t="s">
        <v>16</v>
      </c>
      <c r="D13" s="2" t="s">
        <v>19</v>
      </c>
      <c r="F13" s="2">
        <v>33</v>
      </c>
      <c r="G13" s="2">
        <v>1.23</v>
      </c>
      <c r="H13" s="2">
        <v>20</v>
      </c>
      <c r="I13" s="2">
        <v>40</v>
      </c>
      <c r="J13" s="2">
        <v>0</v>
      </c>
      <c r="K13" s="2">
        <v>8637.52</v>
      </c>
      <c r="L13" s="6">
        <v>27.7</v>
      </c>
      <c r="M13" s="6">
        <v>7</v>
      </c>
      <c r="N13" s="10">
        <v>0.91375214000000005</v>
      </c>
    </row>
    <row r="14" spans="1:14" x14ac:dyDescent="0.2">
      <c r="A14" s="2" t="s">
        <v>35</v>
      </c>
      <c r="B14" s="2" t="s">
        <v>33</v>
      </c>
      <c r="C14" s="2" t="s">
        <v>21</v>
      </c>
      <c r="D14" s="2" t="s">
        <v>17</v>
      </c>
      <c r="F14" s="2">
        <v>31</v>
      </c>
      <c r="G14" s="2">
        <v>0.48</v>
      </c>
      <c r="H14" s="2">
        <v>30</v>
      </c>
      <c r="I14" s="2">
        <v>10</v>
      </c>
      <c r="J14" s="2">
        <v>0</v>
      </c>
      <c r="K14" s="2">
        <v>9010.94</v>
      </c>
      <c r="L14" s="6">
        <v>157.4</v>
      </c>
      <c r="M14" s="6">
        <v>3</v>
      </c>
      <c r="N14" s="10">
        <v>0.90984770000000004</v>
      </c>
    </row>
    <row r="15" spans="1:14" x14ac:dyDescent="0.2">
      <c r="A15" s="2" t="s">
        <v>36</v>
      </c>
      <c r="B15" s="2" t="s">
        <v>33</v>
      </c>
      <c r="C15" s="2" t="s">
        <v>21</v>
      </c>
      <c r="D15" s="2" t="s">
        <v>19</v>
      </c>
      <c r="F15" s="2">
        <v>31</v>
      </c>
      <c r="G15" s="2">
        <v>0.48</v>
      </c>
      <c r="H15" s="3">
        <v>40</v>
      </c>
      <c r="I15" s="3">
        <v>65</v>
      </c>
      <c r="J15" s="2">
        <v>0</v>
      </c>
      <c r="K15" s="2">
        <v>8550.3799999999992</v>
      </c>
      <c r="L15" s="7">
        <v>16</v>
      </c>
      <c r="M15" s="7">
        <v>4</v>
      </c>
      <c r="N15" s="10">
        <v>0.89918569999999998</v>
      </c>
    </row>
    <row r="16" spans="1:14" x14ac:dyDescent="0.2">
      <c r="A16" s="2" t="s">
        <v>37</v>
      </c>
      <c r="B16" s="2" t="s">
        <v>33</v>
      </c>
      <c r="C16" s="2" t="s">
        <v>24</v>
      </c>
      <c r="D16" s="2" t="s">
        <v>17</v>
      </c>
      <c r="F16" s="2">
        <v>30</v>
      </c>
      <c r="G16" s="2">
        <v>0.33</v>
      </c>
      <c r="H16" s="2">
        <v>20</v>
      </c>
      <c r="I16" s="2">
        <v>45</v>
      </c>
      <c r="J16" s="2">
        <v>0</v>
      </c>
      <c r="K16" s="2">
        <v>5628.29</v>
      </c>
      <c r="L16" s="7">
        <v>110.3</v>
      </c>
      <c r="M16" s="7">
        <v>3</v>
      </c>
      <c r="N16" s="10">
        <v>0.46172195999999999</v>
      </c>
    </row>
    <row r="17" spans="1:14" x14ac:dyDescent="0.2">
      <c r="A17" s="2" t="s">
        <v>38</v>
      </c>
      <c r="B17" s="2" t="s">
        <v>33</v>
      </c>
      <c r="C17" s="2" t="s">
        <v>24</v>
      </c>
      <c r="D17" s="2" t="s">
        <v>19</v>
      </c>
      <c r="F17" s="2">
        <v>30</v>
      </c>
      <c r="G17" s="2">
        <v>4.67</v>
      </c>
      <c r="H17" s="2">
        <v>0</v>
      </c>
      <c r="I17" s="2">
        <v>0</v>
      </c>
      <c r="J17" s="2">
        <v>1</v>
      </c>
      <c r="K17" s="2">
        <v>5129.76</v>
      </c>
      <c r="L17" s="7">
        <v>5</v>
      </c>
      <c r="M17" s="7">
        <v>4</v>
      </c>
      <c r="N17" s="10">
        <v>0.90957093</v>
      </c>
    </row>
    <row r="18" spans="1:14" x14ac:dyDescent="0.2">
      <c r="A18" s="2" t="s">
        <v>39</v>
      </c>
      <c r="B18" s="2" t="s">
        <v>33</v>
      </c>
      <c r="C18" s="2" t="s">
        <v>27</v>
      </c>
      <c r="D18" s="2" t="s">
        <v>17</v>
      </c>
      <c r="F18" s="2">
        <v>21</v>
      </c>
      <c r="G18" s="2">
        <v>2.38</v>
      </c>
      <c r="H18" s="2">
        <v>95</v>
      </c>
      <c r="I18" s="2">
        <v>80</v>
      </c>
      <c r="J18" s="2">
        <v>0</v>
      </c>
      <c r="K18" s="2">
        <v>6425.73</v>
      </c>
      <c r="L18" s="7">
        <v>184</v>
      </c>
      <c r="M18" s="7">
        <v>3</v>
      </c>
      <c r="N18" s="10">
        <v>0.85292000000000001</v>
      </c>
    </row>
    <row r="19" spans="1:14" x14ac:dyDescent="0.2">
      <c r="A19" s="2" t="s">
        <v>40</v>
      </c>
      <c r="B19" s="2" t="s">
        <v>33</v>
      </c>
      <c r="C19" s="2" t="s">
        <v>27</v>
      </c>
      <c r="D19" s="2" t="s">
        <v>19</v>
      </c>
      <c r="F19" s="2">
        <v>29</v>
      </c>
      <c r="G19" s="2">
        <v>0</v>
      </c>
      <c r="H19" s="2">
        <v>10</v>
      </c>
      <c r="I19" s="2">
        <v>5</v>
      </c>
      <c r="J19" s="2">
        <v>0</v>
      </c>
      <c r="K19" s="2">
        <v>5814.41</v>
      </c>
      <c r="L19" s="7">
        <v>5.4</v>
      </c>
      <c r="M19" s="7">
        <v>3</v>
      </c>
      <c r="N19" s="10">
        <v>0.58195490000000005</v>
      </c>
    </row>
    <row r="20" spans="1:14" x14ac:dyDescent="0.2">
      <c r="A20" s="2" t="s">
        <v>41</v>
      </c>
      <c r="B20" s="2" t="s">
        <v>33</v>
      </c>
      <c r="C20" s="2" t="s">
        <v>30</v>
      </c>
      <c r="D20" s="2" t="s">
        <v>17</v>
      </c>
      <c r="F20" s="2">
        <v>30</v>
      </c>
      <c r="G20" s="2">
        <v>0</v>
      </c>
      <c r="H20" s="2">
        <v>20</v>
      </c>
      <c r="I20" s="2">
        <v>15</v>
      </c>
      <c r="J20" s="2">
        <v>1</v>
      </c>
      <c r="K20" s="2">
        <v>907.19</v>
      </c>
      <c r="L20" s="7">
        <v>82</v>
      </c>
      <c r="M20" s="7">
        <v>1</v>
      </c>
      <c r="N20" s="10">
        <v>0.74914440000000004</v>
      </c>
    </row>
    <row r="21" spans="1:14" x14ac:dyDescent="0.2">
      <c r="A21" s="2" t="s">
        <v>42</v>
      </c>
      <c r="B21" s="2" t="s">
        <v>33</v>
      </c>
      <c r="C21" s="2" t="s">
        <v>30</v>
      </c>
      <c r="D21" s="2" t="s">
        <v>19</v>
      </c>
      <c r="F21" s="2">
        <v>30</v>
      </c>
      <c r="G21" s="2">
        <v>0</v>
      </c>
      <c r="H21" s="2">
        <v>75</v>
      </c>
      <c r="I21" s="2">
        <v>50</v>
      </c>
      <c r="J21" s="2">
        <v>1</v>
      </c>
      <c r="K21" s="2">
        <v>576.36</v>
      </c>
      <c r="L21" s="7">
        <v>20.9</v>
      </c>
      <c r="M21" s="7">
        <v>1</v>
      </c>
      <c r="N21" s="10">
        <v>0.79863220000000001</v>
      </c>
    </row>
    <row r="22" spans="1:14" x14ac:dyDescent="0.2">
      <c r="A22" s="2" t="s">
        <v>43</v>
      </c>
      <c r="B22" s="2" t="s">
        <v>44</v>
      </c>
      <c r="C22" s="2" t="s">
        <v>16</v>
      </c>
      <c r="D22" s="2" t="s">
        <v>17</v>
      </c>
      <c r="F22" s="2">
        <v>30</v>
      </c>
      <c r="G22" s="2">
        <v>0.61</v>
      </c>
      <c r="H22" s="2">
        <v>5</v>
      </c>
      <c r="I22" s="2">
        <v>10</v>
      </c>
      <c r="J22" s="2">
        <v>0</v>
      </c>
      <c r="K22" s="2">
        <v>9510.68</v>
      </c>
      <c r="L22" s="6">
        <v>117</v>
      </c>
      <c r="M22" s="6">
        <v>3</v>
      </c>
      <c r="N22" s="10">
        <v>0.85486439999999997</v>
      </c>
    </row>
    <row r="23" spans="1:14" x14ac:dyDescent="0.2">
      <c r="A23" s="2" t="s">
        <v>45</v>
      </c>
      <c r="B23" s="2" t="s">
        <v>44</v>
      </c>
      <c r="C23" s="2" t="s">
        <v>16</v>
      </c>
      <c r="D23" s="2" t="s">
        <v>19</v>
      </c>
      <c r="F23" s="2">
        <v>30</v>
      </c>
      <c r="G23" s="2">
        <v>1.23</v>
      </c>
      <c r="H23" s="2">
        <v>20</v>
      </c>
      <c r="I23" s="2">
        <v>40</v>
      </c>
      <c r="J23" s="2">
        <v>0</v>
      </c>
      <c r="K23" s="2">
        <v>8637.52</v>
      </c>
      <c r="L23" s="6">
        <v>27.7</v>
      </c>
      <c r="M23" s="6">
        <v>7</v>
      </c>
      <c r="N23" s="10">
        <v>0.91375214000000005</v>
      </c>
    </row>
    <row r="24" spans="1:14" x14ac:dyDescent="0.2">
      <c r="A24" s="2" t="s">
        <v>46</v>
      </c>
      <c r="B24" s="2" t="s">
        <v>44</v>
      </c>
      <c r="C24" s="2" t="s">
        <v>21</v>
      </c>
      <c r="D24" s="2" t="s">
        <v>17</v>
      </c>
      <c r="F24" s="2">
        <v>30</v>
      </c>
      <c r="G24" s="2">
        <v>0.48</v>
      </c>
      <c r="H24" s="2">
        <v>30</v>
      </c>
      <c r="I24" s="2">
        <v>10</v>
      </c>
      <c r="J24" s="2">
        <v>0</v>
      </c>
      <c r="K24" s="2">
        <v>9010.94</v>
      </c>
      <c r="L24" s="6">
        <v>157.4</v>
      </c>
      <c r="M24" s="6">
        <v>3</v>
      </c>
      <c r="N24" s="10">
        <v>0.90984770000000004</v>
      </c>
    </row>
    <row r="25" spans="1:14" x14ac:dyDescent="0.2">
      <c r="A25" s="2" t="s">
        <v>47</v>
      </c>
      <c r="B25" s="2" t="s">
        <v>44</v>
      </c>
      <c r="C25" s="2" t="s">
        <v>21</v>
      </c>
      <c r="D25" s="2" t="s">
        <v>19</v>
      </c>
      <c r="F25" s="2">
        <v>30</v>
      </c>
      <c r="G25" s="2">
        <v>0.48</v>
      </c>
      <c r="H25" s="3">
        <v>40</v>
      </c>
      <c r="I25" s="3">
        <v>65</v>
      </c>
      <c r="J25" s="2">
        <v>0</v>
      </c>
      <c r="K25" s="2">
        <v>8550.3799999999992</v>
      </c>
      <c r="L25" s="7">
        <v>16</v>
      </c>
      <c r="M25" s="7">
        <v>4</v>
      </c>
      <c r="N25" s="10">
        <v>0.89918569999999998</v>
      </c>
    </row>
    <row r="26" spans="1:14" x14ac:dyDescent="0.2">
      <c r="A26" s="2" t="s">
        <v>48</v>
      </c>
      <c r="B26" s="2" t="s">
        <v>44</v>
      </c>
      <c r="C26" s="2" t="s">
        <v>24</v>
      </c>
      <c r="D26" s="2" t="s">
        <v>17</v>
      </c>
      <c r="F26" s="2">
        <v>30</v>
      </c>
      <c r="G26" s="2">
        <v>0.33</v>
      </c>
      <c r="H26" s="2">
        <v>20</v>
      </c>
      <c r="I26" s="2">
        <v>45</v>
      </c>
      <c r="J26" s="2">
        <v>0</v>
      </c>
      <c r="K26" s="2">
        <v>5628.29</v>
      </c>
      <c r="L26" s="7">
        <v>110.3</v>
      </c>
      <c r="M26" s="7">
        <v>3</v>
      </c>
      <c r="N26" s="10">
        <v>0.46172195999999999</v>
      </c>
    </row>
    <row r="27" spans="1:14" x14ac:dyDescent="0.2">
      <c r="A27" s="2" t="s">
        <v>49</v>
      </c>
      <c r="B27" s="2" t="s">
        <v>44</v>
      </c>
      <c r="C27" s="2" t="s">
        <v>24</v>
      </c>
      <c r="D27" s="2" t="s">
        <v>19</v>
      </c>
      <c r="F27" s="2">
        <v>30</v>
      </c>
      <c r="G27" s="2">
        <v>4.67</v>
      </c>
      <c r="H27" s="2">
        <v>0</v>
      </c>
      <c r="I27" s="2">
        <v>0</v>
      </c>
      <c r="J27" s="2">
        <v>1</v>
      </c>
      <c r="K27" s="2">
        <v>5129.76</v>
      </c>
      <c r="L27" s="7">
        <v>5</v>
      </c>
      <c r="M27" s="7">
        <v>4</v>
      </c>
      <c r="N27" s="10">
        <v>0.90957093</v>
      </c>
    </row>
    <row r="28" spans="1:14" x14ac:dyDescent="0.2">
      <c r="A28" s="2" t="s">
        <v>50</v>
      </c>
      <c r="B28" s="2" t="s">
        <v>44</v>
      </c>
      <c r="C28" s="2" t="s">
        <v>27</v>
      </c>
      <c r="D28" s="2" t="s">
        <v>17</v>
      </c>
      <c r="F28" s="2">
        <v>30</v>
      </c>
      <c r="G28" s="2">
        <v>2.38</v>
      </c>
      <c r="H28" s="2">
        <v>95</v>
      </c>
      <c r="I28" s="2">
        <v>80</v>
      </c>
      <c r="J28" s="2">
        <v>0</v>
      </c>
      <c r="K28" s="2">
        <v>6425.73</v>
      </c>
      <c r="L28" s="7">
        <v>184</v>
      </c>
      <c r="M28" s="7">
        <v>3</v>
      </c>
      <c r="N28" s="10">
        <v>0.85292000000000001</v>
      </c>
    </row>
    <row r="29" spans="1:14" x14ac:dyDescent="0.2">
      <c r="A29" s="2" t="s">
        <v>51</v>
      </c>
      <c r="B29" s="2" t="s">
        <v>44</v>
      </c>
      <c r="C29" s="2" t="s">
        <v>27</v>
      </c>
      <c r="D29" s="2" t="s">
        <v>19</v>
      </c>
      <c r="F29" s="2">
        <v>30</v>
      </c>
      <c r="G29" s="2">
        <v>0</v>
      </c>
      <c r="H29" s="2">
        <v>10</v>
      </c>
      <c r="I29" s="2">
        <v>5</v>
      </c>
      <c r="J29" s="2">
        <v>0</v>
      </c>
      <c r="K29" s="2">
        <v>5814.41</v>
      </c>
      <c r="L29" s="7">
        <v>5.4</v>
      </c>
      <c r="M29" s="7">
        <v>3</v>
      </c>
      <c r="N29" s="10">
        <v>0.58195490000000005</v>
      </c>
    </row>
    <row r="30" spans="1:14" x14ac:dyDescent="0.2">
      <c r="A30" s="2" t="s">
        <v>52</v>
      </c>
      <c r="B30" s="2" t="s">
        <v>44</v>
      </c>
      <c r="C30" s="2" t="s">
        <v>30</v>
      </c>
      <c r="D30" s="2" t="s">
        <v>17</v>
      </c>
      <c r="F30" s="2">
        <v>30</v>
      </c>
      <c r="G30" s="2">
        <v>0</v>
      </c>
      <c r="H30" s="2">
        <v>20</v>
      </c>
      <c r="I30" s="2">
        <v>15</v>
      </c>
      <c r="J30" s="2">
        <v>1</v>
      </c>
      <c r="K30" s="2">
        <v>907.19</v>
      </c>
      <c r="L30" s="7">
        <v>82</v>
      </c>
      <c r="M30" s="7">
        <v>1</v>
      </c>
      <c r="N30" s="10">
        <v>0.74914440000000004</v>
      </c>
    </row>
    <row r="31" spans="1:14" x14ac:dyDescent="0.2">
      <c r="A31" s="2" t="s">
        <v>53</v>
      </c>
      <c r="B31" s="2" t="s">
        <v>44</v>
      </c>
      <c r="C31" s="2" t="s">
        <v>30</v>
      </c>
      <c r="D31" s="2" t="s">
        <v>19</v>
      </c>
      <c r="F31" s="2">
        <v>30</v>
      </c>
      <c r="G31" s="2">
        <v>0</v>
      </c>
      <c r="H31" s="2">
        <v>75</v>
      </c>
      <c r="I31" s="2">
        <v>50</v>
      </c>
      <c r="J31" s="2">
        <v>1</v>
      </c>
      <c r="K31" s="2">
        <v>576.36</v>
      </c>
      <c r="L31" s="7">
        <v>20.9</v>
      </c>
      <c r="M31" s="7">
        <v>1</v>
      </c>
      <c r="N31" s="10">
        <v>0.79863220000000001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EFFD-12A4-9147-850C-2E572AC9C39F}">
  <dimension ref="A1:C31"/>
  <sheetViews>
    <sheetView workbookViewId="0">
      <selection activeCell="F22" sqref="F22"/>
    </sheetView>
  </sheetViews>
  <sheetFormatPr baseColWidth="10" defaultRowHeight="16" x14ac:dyDescent="0.2"/>
  <sheetData>
    <row r="1" spans="1:3" x14ac:dyDescent="0.2">
      <c r="A1" t="s">
        <v>61</v>
      </c>
      <c r="C1" s="8" t="s">
        <v>60</v>
      </c>
    </row>
    <row r="2" spans="1:3" x14ac:dyDescent="0.2">
      <c r="A2" t="s">
        <v>62</v>
      </c>
      <c r="B2">
        <v>1</v>
      </c>
      <c r="C2" s="10">
        <v>2</v>
      </c>
    </row>
    <row r="3" spans="1:3" x14ac:dyDescent="0.2">
      <c r="A3" t="s">
        <v>63</v>
      </c>
      <c r="B3">
        <v>2</v>
      </c>
      <c r="C3" s="10">
        <v>1</v>
      </c>
    </row>
    <row r="4" spans="1:3" x14ac:dyDescent="0.2">
      <c r="A4" t="s">
        <v>64</v>
      </c>
      <c r="B4">
        <v>3</v>
      </c>
      <c r="C4" s="10">
        <v>1</v>
      </c>
    </row>
    <row r="5" spans="1:3" x14ac:dyDescent="0.2">
      <c r="A5" t="s">
        <v>65</v>
      </c>
      <c r="B5">
        <v>4</v>
      </c>
      <c r="C5" s="10">
        <v>1</v>
      </c>
    </row>
    <row r="6" spans="1:3" x14ac:dyDescent="0.2">
      <c r="C6" s="10">
        <v>3</v>
      </c>
    </row>
    <row r="7" spans="1:3" x14ac:dyDescent="0.2">
      <c r="C7" s="10">
        <v>1</v>
      </c>
    </row>
    <row r="8" spans="1:3" x14ac:dyDescent="0.2">
      <c r="C8" s="10">
        <v>2</v>
      </c>
    </row>
    <row r="9" spans="1:3" x14ac:dyDescent="0.2">
      <c r="C9" s="10">
        <v>3</v>
      </c>
    </row>
    <row r="10" spans="1:3" x14ac:dyDescent="0.2">
      <c r="C10" s="10">
        <v>3</v>
      </c>
    </row>
    <row r="11" spans="1:3" x14ac:dyDescent="0.2">
      <c r="C11" s="10">
        <v>2</v>
      </c>
    </row>
    <row r="12" spans="1:3" x14ac:dyDescent="0.2">
      <c r="C12" s="10">
        <v>2</v>
      </c>
    </row>
    <row r="13" spans="1:3" x14ac:dyDescent="0.2">
      <c r="C13" s="10">
        <v>1</v>
      </c>
    </row>
    <row r="14" spans="1:3" x14ac:dyDescent="0.2">
      <c r="C14" s="10">
        <v>1</v>
      </c>
    </row>
    <row r="15" spans="1:3" x14ac:dyDescent="0.2">
      <c r="C15" s="10">
        <v>1</v>
      </c>
    </row>
    <row r="16" spans="1:3" x14ac:dyDescent="0.2">
      <c r="C16" s="10">
        <v>3</v>
      </c>
    </row>
    <row r="17" spans="3:3" x14ac:dyDescent="0.2">
      <c r="C17" s="10">
        <v>1</v>
      </c>
    </row>
    <row r="18" spans="3:3" x14ac:dyDescent="0.2">
      <c r="C18" s="10">
        <v>2</v>
      </c>
    </row>
    <row r="19" spans="3:3" x14ac:dyDescent="0.2">
      <c r="C19" s="10">
        <v>3</v>
      </c>
    </row>
    <row r="20" spans="3:3" x14ac:dyDescent="0.2">
      <c r="C20" s="10">
        <v>3</v>
      </c>
    </row>
    <row r="21" spans="3:3" x14ac:dyDescent="0.2">
      <c r="C21" s="10">
        <v>2</v>
      </c>
    </row>
    <row r="22" spans="3:3" x14ac:dyDescent="0.2">
      <c r="C22" s="10">
        <v>2</v>
      </c>
    </row>
    <row r="23" spans="3:3" x14ac:dyDescent="0.2">
      <c r="C23" s="10">
        <v>1</v>
      </c>
    </row>
    <row r="24" spans="3:3" x14ac:dyDescent="0.2">
      <c r="C24" s="10">
        <v>1</v>
      </c>
    </row>
    <row r="25" spans="3:3" x14ac:dyDescent="0.2">
      <c r="C25" s="10">
        <v>1</v>
      </c>
    </row>
    <row r="26" spans="3:3" x14ac:dyDescent="0.2">
      <c r="C26" s="10">
        <v>3</v>
      </c>
    </row>
    <row r="27" spans="3:3" x14ac:dyDescent="0.2">
      <c r="C27" s="10">
        <v>1</v>
      </c>
    </row>
    <row r="28" spans="3:3" x14ac:dyDescent="0.2">
      <c r="C28" s="10">
        <v>2</v>
      </c>
    </row>
    <row r="29" spans="3:3" x14ac:dyDescent="0.2">
      <c r="C29" s="10">
        <v>3</v>
      </c>
    </row>
    <row r="30" spans="3:3" x14ac:dyDescent="0.2">
      <c r="C30" s="10">
        <v>3</v>
      </c>
    </row>
    <row r="31" spans="3:3" x14ac:dyDescent="0.2">
      <c r="C31" s="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Full</vt:lpstr>
      <vt:lpstr>-domestic</vt:lpstr>
      <vt:lpstr>-birds</vt:lpstr>
      <vt:lpstr>Averages and standard deviation</vt:lpstr>
      <vt:lpstr>Birds per PC spot</vt:lpstr>
      <vt:lpstr>Birds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Charese Kelly</dc:creator>
  <cp:lastModifiedBy>Charese Kelly</cp:lastModifiedBy>
  <dcterms:created xsi:type="dcterms:W3CDTF">2026-05-04T18:47:21Z</dcterms:created>
  <dcterms:modified xsi:type="dcterms:W3CDTF">2026-07-26T08:48:08Z</dcterms:modified>
</cp:coreProperties>
</file>