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Data Analysis and Code/"/>
    </mc:Choice>
  </mc:AlternateContent>
  <xr:revisionPtr revIDLastSave="0" documentId="13_ncr:1_{2B749777-664A-374B-8831-1857964DFDB1}" xr6:coauthVersionLast="47" xr6:coauthVersionMax="47" xr10:uidLastSave="{00000000-0000-0000-0000-000000000000}"/>
  <bookViews>
    <workbookView xWindow="0" yWindow="0" windowWidth="28800" windowHeight="18000" xr2:uid="{A00C76FA-5ADA-4C41-BC29-50C77407DD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H10" i="2"/>
  <c r="H9" i="2"/>
  <c r="H8" i="2"/>
  <c r="H7" i="2"/>
  <c r="H6" i="2"/>
  <c r="H5" i="2"/>
  <c r="H4" i="2"/>
  <c r="H3" i="2"/>
  <c r="H2" i="2"/>
  <c r="H1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H2" i="1"/>
</calcChain>
</file>

<file path=xl/sharedStrings.xml><?xml version="1.0" encoding="utf-8"?>
<sst xmlns="http://schemas.openxmlformats.org/spreadsheetml/2006/main" count="123" uniqueCount="41">
  <si>
    <t>Camera type</t>
  </si>
  <si>
    <t>Site</t>
  </si>
  <si>
    <t>Location</t>
  </si>
  <si>
    <t>Camera #</t>
  </si>
  <si>
    <t># of exclusive records</t>
  </si>
  <si>
    <t>Effort</t>
  </si>
  <si>
    <t xml:space="preserve"># of exclusive species </t>
  </si>
  <si>
    <t>CT_A</t>
  </si>
  <si>
    <t>Inland</t>
  </si>
  <si>
    <t>A1cam</t>
  </si>
  <si>
    <t>CT_S</t>
  </si>
  <si>
    <t>S1cam</t>
  </si>
  <si>
    <t>Shore</t>
  </si>
  <si>
    <t>A2cam</t>
  </si>
  <si>
    <t>S2cam</t>
  </si>
  <si>
    <t>A3cam</t>
  </si>
  <si>
    <t>S3cam</t>
  </si>
  <si>
    <t>A4cam</t>
  </si>
  <si>
    <t>S4cam</t>
  </si>
  <si>
    <t>A5cam</t>
  </si>
  <si>
    <t>S5cam</t>
  </si>
  <si>
    <t>A6cam</t>
  </si>
  <si>
    <t>S6cam</t>
  </si>
  <si>
    <t>A7cam</t>
  </si>
  <si>
    <t>S7cam</t>
  </si>
  <si>
    <t>A8cam</t>
  </si>
  <si>
    <t>S8cam</t>
  </si>
  <si>
    <t>A9cam</t>
  </si>
  <si>
    <t>S9cam</t>
  </si>
  <si>
    <t>A10cam</t>
  </si>
  <si>
    <t>S10cam</t>
  </si>
  <si>
    <t>Std number of records</t>
  </si>
  <si>
    <t>PC</t>
  </si>
  <si>
    <t>DT</t>
  </si>
  <si>
    <t>DI</t>
  </si>
  <si>
    <t>BW</t>
  </si>
  <si>
    <t>VL</t>
  </si>
  <si>
    <t>NI</t>
  </si>
  <si>
    <t>Method</t>
  </si>
  <si>
    <t>Standard number of records per 10 SU</t>
  </si>
  <si>
    <t>CT_B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</si>
</sst>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6666"/>
      <color rgb="FFF0E442"/>
      <color rgb="FFCC79A7"/>
      <color rgb="FF4682B4"/>
      <color rgb="FF7570B3"/>
      <color rgb="FF00A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Sheet2!$J$15</c:f>
              <c:strCache>
                <c:ptCount val="1"/>
                <c:pt idx="0">
                  <c:v>Standard number of records per 10 SU</c:v>
                </c:pt>
              </c:strCache>
            </c:strRef>
          </c:tx>
          <c:spPr>
            <a:solidFill>
              <a:srgbClr val="CC79A7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79A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EE-234A-92CD-569BFA6F6348}"/>
              </c:ext>
            </c:extLst>
          </c:dPt>
          <c:dPt>
            <c:idx val="1"/>
            <c:invertIfNegative val="0"/>
            <c:bubble3D val="0"/>
            <c:spPr>
              <a:solidFill>
                <a:srgbClr val="F0E44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EE-234A-92CD-569BFA6F6348}"/>
              </c:ext>
            </c:extLst>
          </c:dPt>
          <c:dPt>
            <c:idx val="2"/>
            <c:invertIfNegative val="0"/>
            <c:bubble3D val="0"/>
            <c:spPr>
              <a:solidFill>
                <a:srgbClr val="6666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E-234A-92CD-569BFA6F6348}"/>
              </c:ext>
            </c:extLst>
          </c:dPt>
          <c:cat>
            <c:strRef>
              <c:f>Sheet2!$I$16:$I$18</c:f>
              <c:strCache>
                <c:ptCount val="3"/>
                <c:pt idx="0">
                  <c:v>CT_B</c:v>
                </c:pt>
                <c:pt idx="1">
                  <c:v>CT_S</c:v>
                </c:pt>
                <c:pt idx="2">
                  <c:v>PC</c:v>
                </c:pt>
              </c:strCache>
            </c:strRef>
          </c:cat>
          <c:val>
            <c:numRef>
              <c:f>Sheet2!$J$16:$J$18</c:f>
              <c:numCache>
                <c:formatCode>General</c:formatCode>
                <c:ptCount val="3"/>
                <c:pt idx="0">
                  <c:v>7.1635999999999997</c:v>
                </c:pt>
                <c:pt idx="1">
                  <c:v>10.671099999999999</c:v>
                </c:pt>
                <c:pt idx="2">
                  <c:v>12.866666666666665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E-234A-92CD-569BFA6F6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overlap val="-27"/>
        <c:axId val="1877189967"/>
        <c:axId val="1839990991"/>
      </c:barChart>
      <c:catAx>
        <c:axId val="187718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90991"/>
        <c:crosses val="autoZero"/>
        <c:auto val="1"/>
        <c:lblAlgn val="ctr"/>
        <c:lblOffset val="100"/>
        <c:noMultiLvlLbl val="0"/>
      </c:catAx>
      <c:valAx>
        <c:axId val="183999099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per 10 SU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1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184150</xdr:colOff>
      <xdr:row>4</xdr:row>
      <xdr:rowOff>114300</xdr:rowOff>
    </xdr:from>
    <xdr:to>
      <xdr:col>19</xdr:col>
      <xdr:colOff>622300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48CA0-21CC-32BE-496E-9CC05E508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A545-8DCB-6E4E-88E5-1F291AE36EF3}">
  <dimension ref="A1:H21"/>
  <sheetViews>
    <sheetView tabSelected="1" workbookViewId="0">
      <selection activeCell="C32" sqref="C3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</v>
      </c>
    </row>
    <row r="2" spans="1:8" x14ac:dyDescent="0.2">
      <c r="A2" t="s">
        <v>7</v>
      </c>
      <c r="B2" t="s">
        <v>33</v>
      </c>
      <c r="C2" t="s">
        <v>8</v>
      </c>
      <c r="D2" t="s">
        <v>9</v>
      </c>
      <c r="E2">
        <v>18</v>
      </c>
      <c r="F2">
        <v>33</v>
      </c>
      <c r="G2">
        <v>0</v>
      </c>
      <c r="H2">
        <f>(E2/F2)*10</f>
        <v>5.4545454545454541</v>
      </c>
    </row>
    <row r="3" spans="1:8" x14ac:dyDescent="0.2">
      <c r="A3" t="s">
        <v>10</v>
      </c>
      <c r="B3" t="s">
        <v>33</v>
      </c>
      <c r="C3" t="s">
        <v>8</v>
      </c>
      <c r="D3" t="s">
        <v>11</v>
      </c>
      <c r="E3">
        <v>8</v>
      </c>
      <c r="F3">
        <v>33</v>
      </c>
      <c r="G3">
        <v>1</v>
      </c>
      <c r="H3">
        <f>(E3/F3)*10</f>
        <v>2.4242424242424243</v>
      </c>
    </row>
    <row r="4" spans="1:8" x14ac:dyDescent="0.2">
      <c r="A4" t="s">
        <v>7</v>
      </c>
      <c r="B4" t="s">
        <v>33</v>
      </c>
      <c r="C4" t="s">
        <v>12</v>
      </c>
      <c r="D4" t="s">
        <v>13</v>
      </c>
      <c r="E4">
        <v>10</v>
      </c>
      <c r="F4">
        <v>22</v>
      </c>
      <c r="G4">
        <v>3</v>
      </c>
      <c r="H4">
        <f t="shared" ref="H4:H21" si="0">(E4/F4)*10</f>
        <v>4.545454545454545</v>
      </c>
    </row>
    <row r="5" spans="1:8" x14ac:dyDescent="0.2">
      <c r="A5" t="s">
        <v>10</v>
      </c>
      <c r="B5" t="s">
        <v>33</v>
      </c>
      <c r="C5" t="s">
        <v>12</v>
      </c>
      <c r="D5" t="s">
        <v>14</v>
      </c>
      <c r="E5">
        <v>65</v>
      </c>
      <c r="F5">
        <v>33</v>
      </c>
      <c r="G5">
        <v>2</v>
      </c>
      <c r="H5">
        <f t="shared" si="0"/>
        <v>19.696969696969695</v>
      </c>
    </row>
    <row r="6" spans="1:8" x14ac:dyDescent="0.2">
      <c r="A6" t="s">
        <v>7</v>
      </c>
      <c r="B6" t="s">
        <v>34</v>
      </c>
      <c r="C6" t="s">
        <v>8</v>
      </c>
      <c r="D6" t="s">
        <v>15</v>
      </c>
      <c r="E6">
        <v>1</v>
      </c>
      <c r="F6">
        <v>19</v>
      </c>
      <c r="G6">
        <v>1</v>
      </c>
      <c r="H6">
        <f t="shared" si="0"/>
        <v>0.52631578947368418</v>
      </c>
    </row>
    <row r="7" spans="1:8" x14ac:dyDescent="0.2">
      <c r="A7" t="s">
        <v>10</v>
      </c>
      <c r="B7" t="s">
        <v>34</v>
      </c>
      <c r="C7" t="s">
        <v>8</v>
      </c>
      <c r="D7" t="s">
        <v>16</v>
      </c>
      <c r="E7">
        <v>34</v>
      </c>
      <c r="F7">
        <v>31</v>
      </c>
      <c r="G7">
        <v>0</v>
      </c>
      <c r="H7">
        <f t="shared" si="0"/>
        <v>10.96774193548387</v>
      </c>
    </row>
    <row r="8" spans="1:8" x14ac:dyDescent="0.2">
      <c r="A8" t="s">
        <v>7</v>
      </c>
      <c r="B8" t="s">
        <v>34</v>
      </c>
      <c r="C8" t="s">
        <v>12</v>
      </c>
      <c r="D8" t="s">
        <v>17</v>
      </c>
      <c r="E8">
        <v>34</v>
      </c>
      <c r="F8">
        <v>31</v>
      </c>
      <c r="G8">
        <v>3</v>
      </c>
      <c r="H8">
        <f t="shared" si="0"/>
        <v>10.96774193548387</v>
      </c>
    </row>
    <row r="9" spans="1:8" x14ac:dyDescent="0.2">
      <c r="A9" t="s">
        <v>10</v>
      </c>
      <c r="B9" t="s">
        <v>34</v>
      </c>
      <c r="C9" t="s">
        <v>12</v>
      </c>
      <c r="D9" t="s">
        <v>18</v>
      </c>
      <c r="E9">
        <v>6</v>
      </c>
      <c r="F9">
        <v>31</v>
      </c>
      <c r="G9">
        <v>0</v>
      </c>
      <c r="H9">
        <f t="shared" si="0"/>
        <v>1.935483870967742</v>
      </c>
    </row>
    <row r="10" spans="1:8" x14ac:dyDescent="0.2">
      <c r="A10" t="s">
        <v>7</v>
      </c>
      <c r="B10" t="s">
        <v>35</v>
      </c>
      <c r="C10" t="s">
        <v>12</v>
      </c>
      <c r="D10" t="s">
        <v>19</v>
      </c>
      <c r="E10">
        <v>5</v>
      </c>
      <c r="F10">
        <v>30</v>
      </c>
      <c r="G10">
        <v>3</v>
      </c>
      <c r="H10">
        <f t="shared" si="0"/>
        <v>1.6666666666666665</v>
      </c>
    </row>
    <row r="11" spans="1:8" x14ac:dyDescent="0.2">
      <c r="A11" t="s">
        <v>10</v>
      </c>
      <c r="B11" t="s">
        <v>35</v>
      </c>
      <c r="C11" t="s">
        <v>12</v>
      </c>
      <c r="D11" t="s">
        <v>20</v>
      </c>
      <c r="E11">
        <v>0</v>
      </c>
      <c r="F11">
        <v>30</v>
      </c>
      <c r="G11">
        <v>0</v>
      </c>
      <c r="H11">
        <f t="shared" si="0"/>
        <v>0</v>
      </c>
    </row>
    <row r="12" spans="1:8" x14ac:dyDescent="0.2">
      <c r="A12" t="s">
        <v>7</v>
      </c>
      <c r="B12" t="s">
        <v>35</v>
      </c>
      <c r="C12" t="s">
        <v>8</v>
      </c>
      <c r="D12" t="s">
        <v>21</v>
      </c>
      <c r="E12">
        <v>4</v>
      </c>
      <c r="F12">
        <v>30</v>
      </c>
      <c r="G12">
        <v>0</v>
      </c>
      <c r="H12">
        <f t="shared" si="0"/>
        <v>1.3333333333333333</v>
      </c>
    </row>
    <row r="13" spans="1:8" x14ac:dyDescent="0.2">
      <c r="A13" t="s">
        <v>10</v>
      </c>
      <c r="B13" t="s">
        <v>35</v>
      </c>
      <c r="C13" t="s">
        <v>8</v>
      </c>
      <c r="D13" t="s">
        <v>22</v>
      </c>
      <c r="E13">
        <v>16</v>
      </c>
      <c r="F13">
        <v>30</v>
      </c>
      <c r="G13">
        <v>2</v>
      </c>
      <c r="H13">
        <f t="shared" si="0"/>
        <v>5.333333333333333</v>
      </c>
    </row>
    <row r="14" spans="1:8" x14ac:dyDescent="0.2">
      <c r="A14" t="s">
        <v>7</v>
      </c>
      <c r="B14" t="s">
        <v>36</v>
      </c>
      <c r="C14" t="s">
        <v>8</v>
      </c>
      <c r="D14" t="s">
        <v>23</v>
      </c>
      <c r="E14">
        <v>25</v>
      </c>
      <c r="F14">
        <v>21</v>
      </c>
      <c r="G14">
        <v>3</v>
      </c>
      <c r="H14">
        <f t="shared" si="0"/>
        <v>11.904761904761905</v>
      </c>
    </row>
    <row r="15" spans="1:8" x14ac:dyDescent="0.2">
      <c r="A15" t="s">
        <v>10</v>
      </c>
      <c r="B15" t="s">
        <v>36</v>
      </c>
      <c r="C15" t="s">
        <v>8</v>
      </c>
      <c r="D15" t="s">
        <v>24</v>
      </c>
      <c r="E15">
        <v>3</v>
      </c>
      <c r="F15">
        <v>21</v>
      </c>
      <c r="G15">
        <v>2</v>
      </c>
      <c r="H15">
        <f t="shared" si="0"/>
        <v>1.4285714285714284</v>
      </c>
    </row>
    <row r="16" spans="1:8" x14ac:dyDescent="0.2">
      <c r="A16" t="s">
        <v>7</v>
      </c>
      <c r="B16" t="s">
        <v>36</v>
      </c>
      <c r="C16" t="s">
        <v>12</v>
      </c>
      <c r="D16" t="s">
        <v>25</v>
      </c>
      <c r="E16">
        <v>4</v>
      </c>
      <c r="F16">
        <v>29</v>
      </c>
      <c r="G16">
        <v>1</v>
      </c>
      <c r="H16">
        <f t="shared" si="0"/>
        <v>1.3793103448275863</v>
      </c>
    </row>
    <row r="17" spans="1:8" x14ac:dyDescent="0.2">
      <c r="A17" t="s">
        <v>10</v>
      </c>
      <c r="B17" t="s">
        <v>36</v>
      </c>
      <c r="C17" t="s">
        <v>12</v>
      </c>
      <c r="D17" t="s">
        <v>26</v>
      </c>
      <c r="E17">
        <v>69</v>
      </c>
      <c r="F17">
        <v>29</v>
      </c>
      <c r="G17">
        <v>4</v>
      </c>
      <c r="H17">
        <f t="shared" si="0"/>
        <v>23.793103448275865</v>
      </c>
    </row>
    <row r="18" spans="1:8" x14ac:dyDescent="0.2">
      <c r="A18" t="s">
        <v>7</v>
      </c>
      <c r="B18" t="s">
        <v>37</v>
      </c>
      <c r="C18" t="s">
        <v>8</v>
      </c>
      <c r="D18" t="s">
        <v>27</v>
      </c>
      <c r="E18">
        <v>7</v>
      </c>
      <c r="F18">
        <v>30</v>
      </c>
      <c r="G18">
        <v>1</v>
      </c>
      <c r="H18">
        <f t="shared" si="0"/>
        <v>2.3333333333333335</v>
      </c>
    </row>
    <row r="19" spans="1:8" x14ac:dyDescent="0.2">
      <c r="A19" t="s">
        <v>10</v>
      </c>
      <c r="B19" t="s">
        <v>37</v>
      </c>
      <c r="C19" t="s">
        <v>8</v>
      </c>
      <c r="D19" t="s">
        <v>28</v>
      </c>
      <c r="E19">
        <v>27</v>
      </c>
      <c r="F19">
        <v>30</v>
      </c>
      <c r="G19">
        <v>1</v>
      </c>
      <c r="H19">
        <f t="shared" si="0"/>
        <v>9</v>
      </c>
    </row>
    <row r="20" spans="1:8" x14ac:dyDescent="0.2">
      <c r="A20" t="s">
        <v>7</v>
      </c>
      <c r="B20" t="s">
        <v>37</v>
      </c>
      <c r="C20" t="s">
        <v>12</v>
      </c>
      <c r="D20" t="s">
        <v>29</v>
      </c>
      <c r="E20">
        <v>4</v>
      </c>
      <c r="F20">
        <v>30</v>
      </c>
      <c r="G20">
        <v>1</v>
      </c>
      <c r="H20">
        <f t="shared" si="0"/>
        <v>1.3333333333333333</v>
      </c>
    </row>
    <row r="21" spans="1:8" x14ac:dyDescent="0.2">
      <c r="A21" t="s">
        <v>10</v>
      </c>
      <c r="B21" t="s">
        <v>37</v>
      </c>
      <c r="C21" t="s">
        <v>12</v>
      </c>
      <c r="D21" t="s">
        <v>30</v>
      </c>
      <c r="E21">
        <v>0</v>
      </c>
      <c r="F21">
        <v>30</v>
      </c>
      <c r="G21">
        <v>0</v>
      </c>
      <c r="H2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24A9-C9CD-0E4F-8A8E-73AA6805EC23}">
  <dimension ref="A1:J18"/>
  <sheetViews>
    <sheetView topLeftCell="E1" workbookViewId="0">
      <selection activeCell="K27" sqref="K27"/>
    </sheetView>
  </sheetViews>
  <sheetFormatPr baseColWidth="10" defaultRowHeight="16" x14ac:dyDescent="0.2"/>
  <sheetData>
    <row r="1" spans="1:10" x14ac:dyDescent="0.2">
      <c r="A1" t="s">
        <v>32</v>
      </c>
      <c r="B1" t="s">
        <v>33</v>
      </c>
      <c r="C1" t="s">
        <v>8</v>
      </c>
      <c r="F1">
        <v>15</v>
      </c>
      <c r="H1">
        <f>(19/15)*10</f>
        <v>12.666666666666666</v>
      </c>
    </row>
    <row r="2" spans="1:10" x14ac:dyDescent="0.2">
      <c r="A2" t="s">
        <v>32</v>
      </c>
      <c r="B2" t="s">
        <v>33</v>
      </c>
      <c r="C2" t="s">
        <v>12</v>
      </c>
      <c r="F2">
        <v>15</v>
      </c>
      <c r="H2">
        <f>(31/15)*10</f>
        <v>20.666666666666668</v>
      </c>
    </row>
    <row r="3" spans="1:10" x14ac:dyDescent="0.2">
      <c r="A3" t="s">
        <v>32</v>
      </c>
      <c r="B3" t="s">
        <v>34</v>
      </c>
      <c r="C3" t="s">
        <v>8</v>
      </c>
      <c r="F3">
        <v>15</v>
      </c>
      <c r="H3">
        <f>(9/15)*10</f>
        <v>6</v>
      </c>
    </row>
    <row r="4" spans="1:10" x14ac:dyDescent="0.2">
      <c r="A4" t="s">
        <v>32</v>
      </c>
      <c r="B4" t="s">
        <v>34</v>
      </c>
      <c r="C4" t="s">
        <v>12</v>
      </c>
      <c r="F4">
        <v>15</v>
      </c>
      <c r="H4">
        <f>(11/15)*10</f>
        <v>7.333333333333333</v>
      </c>
    </row>
    <row r="5" spans="1:10" x14ac:dyDescent="0.2">
      <c r="A5" t="s">
        <v>32</v>
      </c>
      <c r="B5" t="s">
        <v>35</v>
      </c>
      <c r="C5" t="s">
        <v>8</v>
      </c>
      <c r="F5">
        <v>15</v>
      </c>
      <c r="H5">
        <f>(10/15)*10</f>
        <v>6.6666666666666661</v>
      </c>
    </row>
    <row r="6" spans="1:10" x14ac:dyDescent="0.2">
      <c r="A6" t="s">
        <v>32</v>
      </c>
      <c r="B6" t="s">
        <v>35</v>
      </c>
      <c r="C6" t="s">
        <v>12</v>
      </c>
      <c r="F6">
        <v>15</v>
      </c>
      <c r="H6">
        <f>(27/15)*10</f>
        <v>18</v>
      </c>
    </row>
    <row r="7" spans="1:10" x14ac:dyDescent="0.2">
      <c r="A7" t="s">
        <v>32</v>
      </c>
      <c r="B7" t="s">
        <v>36</v>
      </c>
      <c r="C7" t="s">
        <v>8</v>
      </c>
      <c r="F7">
        <v>15</v>
      </c>
      <c r="H7">
        <f>(49/15)*10</f>
        <v>32.666666666666664</v>
      </c>
    </row>
    <row r="8" spans="1:10" x14ac:dyDescent="0.2">
      <c r="A8" t="s">
        <v>32</v>
      </c>
      <c r="B8" t="s">
        <v>36</v>
      </c>
      <c r="C8" t="s">
        <v>12</v>
      </c>
      <c r="F8">
        <v>15</v>
      </c>
      <c r="H8">
        <f>(9/15)*10</f>
        <v>6</v>
      </c>
    </row>
    <row r="9" spans="1:10" x14ac:dyDescent="0.2">
      <c r="A9" t="s">
        <v>32</v>
      </c>
      <c r="B9" t="s">
        <v>37</v>
      </c>
      <c r="C9" t="s">
        <v>8</v>
      </c>
      <c r="F9">
        <v>15</v>
      </c>
      <c r="H9">
        <f>(9/15)*10</f>
        <v>6</v>
      </c>
    </row>
    <row r="10" spans="1:10" x14ac:dyDescent="0.2">
      <c r="A10" t="s">
        <v>32</v>
      </c>
      <c r="B10" t="s">
        <v>37</v>
      </c>
      <c r="C10" t="s">
        <v>12</v>
      </c>
      <c r="F10">
        <v>15</v>
      </c>
      <c r="H10">
        <f>(19/15)*10</f>
        <v>12.666666666666666</v>
      </c>
    </row>
    <row r="15" spans="1:10" x14ac:dyDescent="0.2">
      <c r="I15" t="s">
        <v>38</v>
      </c>
      <c r="J15" t="s">
        <v>39</v>
      </c>
    </row>
    <row r="16" spans="1:10" x14ac:dyDescent="0.2">
      <c r="I16" t="s">
        <v>40</v>
      </c>
      <c r="J16">
        <v>7.1635999999999997</v>
      </c>
    </row>
    <row r="17" spans="9:10" x14ac:dyDescent="0.2">
      <c r="I17" t="s">
        <v>10</v>
      </c>
      <c r="J17">
        <v>10.671099999999999</v>
      </c>
    </row>
    <row r="18" spans="9:10" x14ac:dyDescent="0.2">
      <c r="I18" t="s">
        <v>32</v>
      </c>
      <c r="J18">
        <f>AVERAGE(H1:H10)</f>
        <v>12.866666666666665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2026-05-12T03:37:33Z</dcterms:created>
  <dcterms:modified xsi:type="dcterms:W3CDTF">2026-07-24T02:42:44Z</dcterms:modified>
</cp:coreProperties>
</file>