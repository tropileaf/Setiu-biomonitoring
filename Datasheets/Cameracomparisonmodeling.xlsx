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ese/Documents/Tropimundo/Thesis/Data Analysis and Code/"/>
    </mc:Choice>
  </mc:AlternateContent>
  <xr:revisionPtr revIDLastSave="0" documentId="13_ncr:1_{136CDBF7-699E-DF4D-B889-AF2EE8B2025A}" xr6:coauthVersionLast="47" xr6:coauthVersionMax="47" xr10:uidLastSave="{00000000-0000-0000-0000-000000000000}"/>
  <bookViews>
    <workbookView xWindow="0" yWindow="0" windowWidth="28800" windowHeight="18000" xr2:uid="{F6B1D8B9-B8F8-1F4C-A903-3D53E7C769F5}"/>
  </bookViews>
  <sheets>
    <sheet name="Sheet1" sheetId="1" r:id="rId1"/>
    <sheet name="Sheet2" sheetId="2" r:id="rId2"/>
    <sheet name="Emptyvsoccupi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F36" i="1"/>
  <c r="L42" i="1"/>
  <c r="O29" i="1"/>
  <c r="O27" i="1"/>
  <c r="K34" i="1"/>
  <c r="F34" i="1"/>
  <c r="O40" i="1"/>
  <c r="O38" i="1"/>
  <c r="N40" i="1"/>
  <c r="N38" i="1"/>
  <c r="M40" i="1"/>
  <c r="M38" i="1"/>
  <c r="O37" i="1"/>
  <c r="N39" i="1"/>
  <c r="O39" i="1" s="1"/>
  <c r="N37" i="1"/>
  <c r="M37" i="1"/>
  <c r="M39" i="1"/>
  <c r="K25" i="1"/>
  <c r="K26" i="1"/>
  <c r="K27" i="1"/>
  <c r="K28" i="1"/>
  <c r="K29" i="1"/>
  <c r="K30" i="1"/>
  <c r="K31" i="1"/>
  <c r="K24" i="1"/>
  <c r="K23" i="1"/>
  <c r="H31" i="1"/>
  <c r="H23" i="1"/>
  <c r="H24" i="1"/>
  <c r="H25" i="1"/>
  <c r="H26" i="1"/>
  <c r="H27" i="1"/>
  <c r="H28" i="1"/>
  <c r="H29" i="1"/>
  <c r="H30" i="1"/>
  <c r="H22" i="1"/>
  <c r="M33" i="1"/>
  <c r="M32" i="1"/>
  <c r="K20" i="1"/>
  <c r="K19" i="1"/>
  <c r="K18" i="1"/>
  <c r="K17" i="1"/>
  <c r="K16" i="1"/>
  <c r="K15" i="1"/>
  <c r="K14" i="1"/>
  <c r="K12" i="1"/>
  <c r="K11" i="1"/>
  <c r="K10" i="1"/>
  <c r="K9" i="1"/>
  <c r="K8" i="1"/>
  <c r="K7" i="1"/>
  <c r="K6" i="1"/>
  <c r="K5" i="1"/>
  <c r="K4" i="1"/>
  <c r="K3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H2" i="1"/>
  <c r="J33" i="1"/>
  <c r="J32" i="1"/>
  <c r="L33" i="1"/>
  <c r="L32" i="1"/>
  <c r="G33" i="1"/>
  <c r="I33" i="1" s="1"/>
  <c r="G32" i="1"/>
  <c r="I32" i="1" s="1"/>
  <c r="F33" i="1"/>
  <c r="H33" i="1" s="1"/>
  <c r="F32" i="1"/>
  <c r="H32" i="1" s="1"/>
</calcChain>
</file>

<file path=xl/sharedStrings.xml><?xml version="1.0" encoding="utf-8"?>
<sst xmlns="http://schemas.openxmlformats.org/spreadsheetml/2006/main" count="125" uniqueCount="38">
  <si>
    <t>Camera</t>
  </si>
  <si>
    <t>Site</t>
  </si>
  <si>
    <t># of species</t>
  </si>
  <si>
    <t># of exclusive records</t>
  </si>
  <si>
    <t># of total records</t>
  </si>
  <si>
    <t>Total/10 days</t>
  </si>
  <si>
    <t>Exclusive/10 days</t>
  </si>
  <si>
    <t>Empty videos</t>
  </si>
  <si>
    <t>DT</t>
  </si>
  <si>
    <t>DI</t>
  </si>
  <si>
    <t>BW</t>
  </si>
  <si>
    <t>VL</t>
  </si>
  <si>
    <t>NI</t>
  </si>
  <si>
    <t>CT_A</t>
  </si>
  <si>
    <t>CT_S</t>
  </si>
  <si>
    <t>Location</t>
  </si>
  <si>
    <t>Inland</t>
  </si>
  <si>
    <t>Shore</t>
  </si>
  <si>
    <t>Effort</t>
  </si>
  <si>
    <t># of exclusive species</t>
  </si>
  <si>
    <t>CT_A Cost per cam</t>
  </si>
  <si>
    <t>CT_S cost per cam</t>
  </si>
  <si>
    <t>NA</t>
  </si>
  <si>
    <t>Total</t>
  </si>
  <si>
    <t>Empty</t>
  </si>
  <si>
    <t>Occupied</t>
  </si>
  <si>
    <t># of occupied videos</t>
  </si>
  <si>
    <t>PC</t>
  </si>
  <si>
    <t>Cost/record (EUR)</t>
  </si>
  <si>
    <t>Seconds</t>
  </si>
  <si>
    <t>Minutes</t>
  </si>
  <si>
    <t>Hours</t>
  </si>
  <si>
    <t>CT_A Occupied</t>
  </si>
  <si>
    <t>CT_A  Empty</t>
  </si>
  <si>
    <t>CT_S Occupied</t>
  </si>
  <si>
    <t>CT_S Empty</t>
  </si>
  <si>
    <t>SD CT_B</t>
  </si>
  <si>
    <t>SD CT_S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</si>
</sst>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B19B-2370-EB48-858E-6F14C4036CB6}">
  <dimension ref="A1:O42"/>
  <sheetViews>
    <sheetView tabSelected="1" topLeftCell="E6" workbookViewId="0">
      <selection activeCell="J40" sqref="J40"/>
    </sheetView>
  </sheetViews>
  <sheetFormatPr baseColWidth="10" defaultRowHeight="16" x14ac:dyDescent="0.2"/>
  <cols>
    <col min="2" max="5" width="12.5" customWidth="1"/>
    <col min="6" max="6" width="17.83203125" customWidth="1"/>
    <col min="7" max="7" width="19.83203125" customWidth="1"/>
    <col min="8" max="8" width="14.33203125" customWidth="1"/>
    <col min="9" max="9" width="15.1640625" customWidth="1"/>
    <col min="10" max="10" width="11.5" customWidth="1"/>
  </cols>
  <sheetData>
    <row r="1" spans="1:13" x14ac:dyDescent="0.2">
      <c r="A1" t="s">
        <v>0</v>
      </c>
      <c r="B1" t="s">
        <v>1</v>
      </c>
      <c r="C1" t="s">
        <v>15</v>
      </c>
      <c r="D1" t="s">
        <v>2</v>
      </c>
      <c r="E1" t="s">
        <v>19</v>
      </c>
      <c r="F1" t="s">
        <v>4</v>
      </c>
      <c r="G1" t="s">
        <v>3</v>
      </c>
      <c r="H1" t="s">
        <v>5</v>
      </c>
      <c r="I1" t="s">
        <v>6</v>
      </c>
      <c r="J1" t="s">
        <v>7</v>
      </c>
      <c r="K1" t="s">
        <v>28</v>
      </c>
      <c r="L1" t="s">
        <v>18</v>
      </c>
      <c r="M1" t="s">
        <v>26</v>
      </c>
    </row>
    <row r="2" spans="1:13" x14ac:dyDescent="0.2">
      <c r="A2" t="s">
        <v>13</v>
      </c>
      <c r="B2" t="s">
        <v>8</v>
      </c>
      <c r="C2" t="s">
        <v>16</v>
      </c>
      <c r="D2">
        <v>2</v>
      </c>
      <c r="E2">
        <v>0</v>
      </c>
      <c r="F2">
        <v>28</v>
      </c>
      <c r="G2">
        <v>18</v>
      </c>
      <c r="H2">
        <f>(F2/L2)*10</f>
        <v>8.4848484848484844</v>
      </c>
      <c r="I2">
        <f>(G2/L2)*10</f>
        <v>5.4545454545454541</v>
      </c>
      <c r="J2">
        <v>11</v>
      </c>
      <c r="K2">
        <f>Sheet2!A2/F2</f>
        <v>3.61</v>
      </c>
      <c r="L2">
        <v>33</v>
      </c>
      <c r="M2">
        <v>19</v>
      </c>
    </row>
    <row r="3" spans="1:13" x14ac:dyDescent="0.2">
      <c r="A3" t="s">
        <v>14</v>
      </c>
      <c r="B3" t="s">
        <v>8</v>
      </c>
      <c r="C3" t="s">
        <v>16</v>
      </c>
      <c r="D3">
        <v>3</v>
      </c>
      <c r="E3">
        <v>1</v>
      </c>
      <c r="F3">
        <v>20</v>
      </c>
      <c r="G3">
        <v>8</v>
      </c>
      <c r="H3">
        <f>(F3/L3)*10</f>
        <v>6.0606060606060606</v>
      </c>
      <c r="I3">
        <f t="shared" ref="I3:I21" si="0">(G3/L3)*10</f>
        <v>2.4242424242424243</v>
      </c>
      <c r="J3">
        <v>3</v>
      </c>
      <c r="K3">
        <f>Sheet2!B2/F3</f>
        <v>11.913500000000001</v>
      </c>
      <c r="L3">
        <v>33</v>
      </c>
      <c r="M3">
        <v>17</v>
      </c>
    </row>
    <row r="4" spans="1:13" x14ac:dyDescent="0.2">
      <c r="A4" t="s">
        <v>13</v>
      </c>
      <c r="B4" t="s">
        <v>8</v>
      </c>
      <c r="C4" t="s">
        <v>17</v>
      </c>
      <c r="D4">
        <v>4</v>
      </c>
      <c r="E4">
        <v>3</v>
      </c>
      <c r="F4">
        <v>30</v>
      </c>
      <c r="G4">
        <v>10</v>
      </c>
      <c r="H4">
        <f t="shared" ref="H4:H21" si="1">(F4/L4)*10</f>
        <v>13.636363636363635</v>
      </c>
      <c r="I4">
        <f t="shared" si="0"/>
        <v>4.545454545454545</v>
      </c>
      <c r="J4">
        <v>11</v>
      </c>
      <c r="K4">
        <f>Sheet2!A2/F4</f>
        <v>3.3693333333333331</v>
      </c>
      <c r="L4">
        <v>22</v>
      </c>
      <c r="M4">
        <v>45</v>
      </c>
    </row>
    <row r="5" spans="1:13" x14ac:dyDescent="0.2">
      <c r="A5" t="s">
        <v>14</v>
      </c>
      <c r="B5" t="s">
        <v>8</v>
      </c>
      <c r="C5" t="s">
        <v>17</v>
      </c>
      <c r="D5">
        <v>3</v>
      </c>
      <c r="E5">
        <v>2</v>
      </c>
      <c r="F5">
        <v>88</v>
      </c>
      <c r="G5">
        <v>65</v>
      </c>
      <c r="H5">
        <f t="shared" si="1"/>
        <v>26.666666666666664</v>
      </c>
      <c r="I5">
        <f t="shared" si="0"/>
        <v>19.696969696969695</v>
      </c>
      <c r="J5">
        <v>3</v>
      </c>
      <c r="K5">
        <f>Sheet2!B2/F5</f>
        <v>2.7076136363636363</v>
      </c>
      <c r="L5">
        <v>33</v>
      </c>
      <c r="M5">
        <v>60</v>
      </c>
    </row>
    <row r="6" spans="1:13" x14ac:dyDescent="0.2">
      <c r="A6" t="s">
        <v>13</v>
      </c>
      <c r="B6" t="s">
        <v>9</v>
      </c>
      <c r="C6" t="s">
        <v>16</v>
      </c>
      <c r="D6">
        <v>2</v>
      </c>
      <c r="E6">
        <v>1</v>
      </c>
      <c r="F6">
        <v>5</v>
      </c>
      <c r="G6">
        <v>1</v>
      </c>
      <c r="H6">
        <f t="shared" si="1"/>
        <v>2.6315789473684208</v>
      </c>
      <c r="I6">
        <f t="shared" si="0"/>
        <v>0.52631578947368418</v>
      </c>
      <c r="J6">
        <v>6</v>
      </c>
      <c r="K6">
        <f>Sheet2!A2/F6</f>
        <v>20.216000000000001</v>
      </c>
      <c r="L6">
        <v>19</v>
      </c>
      <c r="M6">
        <v>31</v>
      </c>
    </row>
    <row r="7" spans="1:13" x14ac:dyDescent="0.2">
      <c r="A7" t="s">
        <v>14</v>
      </c>
      <c r="B7" t="s">
        <v>9</v>
      </c>
      <c r="C7" t="s">
        <v>16</v>
      </c>
      <c r="D7">
        <v>1</v>
      </c>
      <c r="E7">
        <v>0</v>
      </c>
      <c r="F7">
        <v>38</v>
      </c>
      <c r="G7">
        <v>34</v>
      </c>
      <c r="H7">
        <f t="shared" si="1"/>
        <v>12.258064516129032</v>
      </c>
      <c r="I7">
        <f t="shared" si="0"/>
        <v>10.96774193548387</v>
      </c>
      <c r="J7">
        <v>1</v>
      </c>
      <c r="K7">
        <f>Sheet2!B2/F7</f>
        <v>6.2702631578947372</v>
      </c>
      <c r="L7">
        <v>31</v>
      </c>
      <c r="M7">
        <v>57</v>
      </c>
    </row>
    <row r="8" spans="1:13" x14ac:dyDescent="0.2">
      <c r="A8" t="s">
        <v>13</v>
      </c>
      <c r="B8" t="s">
        <v>9</v>
      </c>
      <c r="C8" t="s">
        <v>17</v>
      </c>
      <c r="D8">
        <v>4</v>
      </c>
      <c r="E8">
        <v>3</v>
      </c>
      <c r="F8">
        <v>48</v>
      </c>
      <c r="G8">
        <v>34</v>
      </c>
      <c r="H8">
        <f t="shared" si="1"/>
        <v>15.483870967741936</v>
      </c>
      <c r="I8">
        <f t="shared" si="0"/>
        <v>10.96774193548387</v>
      </c>
      <c r="J8">
        <v>18</v>
      </c>
      <c r="K8">
        <f>Sheet2!A2/F8</f>
        <v>2.1058333333333334</v>
      </c>
      <c r="L8">
        <v>31</v>
      </c>
      <c r="M8">
        <v>98</v>
      </c>
    </row>
    <row r="9" spans="1:13" x14ac:dyDescent="0.2">
      <c r="A9" t="s">
        <v>14</v>
      </c>
      <c r="B9" t="s">
        <v>9</v>
      </c>
      <c r="C9" t="s">
        <v>17</v>
      </c>
      <c r="D9">
        <v>1</v>
      </c>
      <c r="E9">
        <v>0</v>
      </c>
      <c r="F9">
        <v>20</v>
      </c>
      <c r="G9">
        <v>6</v>
      </c>
      <c r="H9">
        <f t="shared" si="1"/>
        <v>6.4516129032258061</v>
      </c>
      <c r="I9">
        <f t="shared" si="0"/>
        <v>1.935483870967742</v>
      </c>
      <c r="J9">
        <v>1</v>
      </c>
      <c r="K9">
        <f>Sheet2!B2/F9</f>
        <v>11.913500000000001</v>
      </c>
      <c r="L9">
        <v>31</v>
      </c>
      <c r="M9">
        <v>27</v>
      </c>
    </row>
    <row r="10" spans="1:13" x14ac:dyDescent="0.2">
      <c r="A10" t="s">
        <v>13</v>
      </c>
      <c r="B10" t="s">
        <v>10</v>
      </c>
      <c r="C10" t="s">
        <v>16</v>
      </c>
      <c r="D10">
        <v>1</v>
      </c>
      <c r="E10">
        <v>3</v>
      </c>
      <c r="F10">
        <v>10</v>
      </c>
      <c r="G10">
        <v>5</v>
      </c>
      <c r="H10">
        <f t="shared" si="1"/>
        <v>3.333333333333333</v>
      </c>
      <c r="I10">
        <f t="shared" si="0"/>
        <v>1.6666666666666665</v>
      </c>
      <c r="J10">
        <v>28</v>
      </c>
      <c r="K10">
        <f>Sheet2!A2/F10</f>
        <v>10.108000000000001</v>
      </c>
      <c r="L10">
        <v>30</v>
      </c>
      <c r="M10">
        <v>11</v>
      </c>
    </row>
    <row r="11" spans="1:13" x14ac:dyDescent="0.2">
      <c r="A11" t="s">
        <v>14</v>
      </c>
      <c r="B11" t="s">
        <v>10</v>
      </c>
      <c r="C11" t="s">
        <v>16</v>
      </c>
      <c r="D11">
        <v>3</v>
      </c>
      <c r="E11">
        <v>0</v>
      </c>
      <c r="F11">
        <v>22</v>
      </c>
      <c r="G11">
        <v>0</v>
      </c>
      <c r="H11">
        <f t="shared" si="1"/>
        <v>7.333333333333333</v>
      </c>
      <c r="I11">
        <f t="shared" si="0"/>
        <v>0</v>
      </c>
      <c r="J11">
        <v>2</v>
      </c>
      <c r="K11">
        <f>Sheet2!B2/F11</f>
        <v>10.830454545454545</v>
      </c>
      <c r="L11">
        <v>30</v>
      </c>
      <c r="M11">
        <v>21</v>
      </c>
    </row>
    <row r="12" spans="1:13" x14ac:dyDescent="0.2">
      <c r="A12" t="s">
        <v>13</v>
      </c>
      <c r="B12" t="s">
        <v>10</v>
      </c>
      <c r="C12" t="s">
        <v>17</v>
      </c>
      <c r="D12">
        <v>3</v>
      </c>
      <c r="E12">
        <v>0</v>
      </c>
      <c r="F12">
        <v>5</v>
      </c>
      <c r="G12">
        <v>4</v>
      </c>
      <c r="H12">
        <f t="shared" si="1"/>
        <v>1.6666666666666665</v>
      </c>
      <c r="I12">
        <f t="shared" si="0"/>
        <v>1.3333333333333333</v>
      </c>
      <c r="J12" s="1">
        <v>1208</v>
      </c>
      <c r="K12">
        <f>Sheet2!A2/F12</f>
        <v>20.216000000000001</v>
      </c>
      <c r="L12">
        <v>30</v>
      </c>
      <c r="M12">
        <v>14</v>
      </c>
    </row>
    <row r="13" spans="1:13" x14ac:dyDescent="0.2">
      <c r="A13" t="s">
        <v>14</v>
      </c>
      <c r="B13" t="s">
        <v>10</v>
      </c>
      <c r="C13" t="s">
        <v>17</v>
      </c>
      <c r="D13">
        <v>0</v>
      </c>
      <c r="E13">
        <v>2</v>
      </c>
      <c r="F13">
        <v>0</v>
      </c>
      <c r="G13">
        <v>16</v>
      </c>
      <c r="H13">
        <f t="shared" si="1"/>
        <v>0</v>
      </c>
      <c r="I13">
        <f t="shared" si="0"/>
        <v>5.333333333333333</v>
      </c>
      <c r="J13">
        <v>9</v>
      </c>
      <c r="K13" t="s">
        <v>22</v>
      </c>
      <c r="L13">
        <v>30</v>
      </c>
      <c r="M13">
        <v>0</v>
      </c>
    </row>
    <row r="14" spans="1:13" x14ac:dyDescent="0.2">
      <c r="A14" t="s">
        <v>13</v>
      </c>
      <c r="B14" t="s">
        <v>11</v>
      </c>
      <c r="C14" t="s">
        <v>16</v>
      </c>
      <c r="D14">
        <v>6</v>
      </c>
      <c r="E14">
        <v>4</v>
      </c>
      <c r="F14">
        <v>29</v>
      </c>
      <c r="G14">
        <v>25</v>
      </c>
      <c r="H14">
        <f t="shared" si="1"/>
        <v>13.80952380952381</v>
      </c>
      <c r="I14">
        <f t="shared" si="0"/>
        <v>11.904761904761905</v>
      </c>
      <c r="J14" s="1">
        <v>3773</v>
      </c>
      <c r="K14">
        <f>Sheet2!A2/F14</f>
        <v>3.4855172413793101</v>
      </c>
      <c r="L14">
        <v>21</v>
      </c>
      <c r="M14">
        <v>52</v>
      </c>
    </row>
    <row r="15" spans="1:13" x14ac:dyDescent="0.2">
      <c r="A15" t="s">
        <v>14</v>
      </c>
      <c r="B15" t="s">
        <v>11</v>
      </c>
      <c r="C15" t="s">
        <v>16</v>
      </c>
      <c r="D15">
        <v>3</v>
      </c>
      <c r="E15">
        <v>2</v>
      </c>
      <c r="F15">
        <v>8</v>
      </c>
      <c r="G15">
        <v>3</v>
      </c>
      <c r="H15">
        <f t="shared" si="1"/>
        <v>3.8095238095238093</v>
      </c>
      <c r="I15">
        <f t="shared" si="0"/>
        <v>1.4285714285714284</v>
      </c>
      <c r="J15">
        <v>4</v>
      </c>
      <c r="K15">
        <f>Sheet2!B2/F15</f>
        <v>29.783750000000001</v>
      </c>
      <c r="L15">
        <v>21</v>
      </c>
      <c r="M15">
        <v>28</v>
      </c>
    </row>
    <row r="16" spans="1:13" x14ac:dyDescent="0.2">
      <c r="A16" t="s">
        <v>13</v>
      </c>
      <c r="B16" t="s">
        <v>11</v>
      </c>
      <c r="C16" t="s">
        <v>17</v>
      </c>
      <c r="D16">
        <v>2</v>
      </c>
      <c r="E16">
        <v>1</v>
      </c>
      <c r="F16">
        <v>26</v>
      </c>
      <c r="G16">
        <v>4</v>
      </c>
      <c r="H16">
        <f t="shared" si="1"/>
        <v>8.9655172413793096</v>
      </c>
      <c r="I16">
        <f t="shared" si="0"/>
        <v>1.3793103448275863</v>
      </c>
      <c r="J16">
        <v>938</v>
      </c>
      <c r="K16">
        <f>Sheet2!A2/F16</f>
        <v>3.8876923076923076</v>
      </c>
      <c r="L16">
        <v>29</v>
      </c>
      <c r="M16">
        <v>39</v>
      </c>
    </row>
    <row r="17" spans="1:15" x14ac:dyDescent="0.2">
      <c r="A17" t="s">
        <v>14</v>
      </c>
      <c r="B17" t="s">
        <v>11</v>
      </c>
      <c r="C17" t="s">
        <v>17</v>
      </c>
      <c r="D17">
        <v>4</v>
      </c>
      <c r="E17">
        <v>4</v>
      </c>
      <c r="F17">
        <v>89</v>
      </c>
      <c r="G17">
        <v>69</v>
      </c>
      <c r="H17">
        <f t="shared" si="1"/>
        <v>30.689655172413794</v>
      </c>
      <c r="I17">
        <f t="shared" si="0"/>
        <v>23.793103448275865</v>
      </c>
      <c r="J17">
        <v>2</v>
      </c>
      <c r="K17">
        <f>Sheet2!B2/F17</f>
        <v>2.6771910112359554</v>
      </c>
      <c r="L17">
        <v>29</v>
      </c>
      <c r="M17">
        <v>55</v>
      </c>
    </row>
    <row r="18" spans="1:15" x14ac:dyDescent="0.2">
      <c r="A18" t="s">
        <v>13</v>
      </c>
      <c r="B18" t="s">
        <v>12</v>
      </c>
      <c r="C18" t="s">
        <v>16</v>
      </c>
      <c r="D18">
        <v>2</v>
      </c>
      <c r="E18">
        <v>1</v>
      </c>
      <c r="F18">
        <v>13</v>
      </c>
      <c r="G18">
        <v>7</v>
      </c>
      <c r="H18">
        <f t="shared" si="1"/>
        <v>4.3333333333333339</v>
      </c>
      <c r="I18">
        <f t="shared" si="0"/>
        <v>2.3333333333333335</v>
      </c>
      <c r="J18">
        <v>21</v>
      </c>
      <c r="K18">
        <f>Sheet2!A2/F18</f>
        <v>7.7753846153846151</v>
      </c>
      <c r="L18">
        <v>30</v>
      </c>
      <c r="M18">
        <v>26</v>
      </c>
    </row>
    <row r="19" spans="1:15" x14ac:dyDescent="0.2">
      <c r="A19" t="s">
        <v>14</v>
      </c>
      <c r="B19" t="s">
        <v>12</v>
      </c>
      <c r="C19" t="s">
        <v>16</v>
      </c>
      <c r="D19">
        <v>2</v>
      </c>
      <c r="E19">
        <v>1</v>
      </c>
      <c r="F19">
        <v>33</v>
      </c>
      <c r="G19">
        <v>27</v>
      </c>
      <c r="H19">
        <f t="shared" si="1"/>
        <v>11</v>
      </c>
      <c r="I19">
        <f t="shared" si="0"/>
        <v>9</v>
      </c>
      <c r="J19">
        <v>5</v>
      </c>
      <c r="K19">
        <f>Sheet2!B2/F19</f>
        <v>7.2203030303030307</v>
      </c>
      <c r="L19">
        <v>30</v>
      </c>
      <c r="M19">
        <v>47</v>
      </c>
    </row>
    <row r="20" spans="1:15" x14ac:dyDescent="0.2">
      <c r="A20" t="s">
        <v>13</v>
      </c>
      <c r="B20" t="s">
        <v>12</v>
      </c>
      <c r="C20" t="s">
        <v>17</v>
      </c>
      <c r="D20">
        <v>1</v>
      </c>
      <c r="E20">
        <v>1</v>
      </c>
      <c r="F20">
        <v>4</v>
      </c>
      <c r="G20">
        <v>4</v>
      </c>
      <c r="H20">
        <f t="shared" si="1"/>
        <v>1.3333333333333333</v>
      </c>
      <c r="I20">
        <f t="shared" si="0"/>
        <v>1.3333333333333333</v>
      </c>
      <c r="J20">
        <v>430</v>
      </c>
      <c r="K20">
        <f>Sheet2!A2/F20</f>
        <v>25.27</v>
      </c>
      <c r="L20">
        <v>30</v>
      </c>
      <c r="M20">
        <v>4</v>
      </c>
    </row>
    <row r="21" spans="1:15" x14ac:dyDescent="0.2">
      <c r="A21" t="s">
        <v>14</v>
      </c>
      <c r="B21" t="s">
        <v>12</v>
      </c>
      <c r="C21" t="s">
        <v>17</v>
      </c>
      <c r="D21">
        <v>0</v>
      </c>
      <c r="E21">
        <v>0</v>
      </c>
      <c r="F21">
        <v>0</v>
      </c>
      <c r="G21">
        <v>0</v>
      </c>
      <c r="H21">
        <f t="shared" si="1"/>
        <v>0</v>
      </c>
      <c r="I21">
        <f t="shared" si="0"/>
        <v>0</v>
      </c>
      <c r="J21">
        <v>311</v>
      </c>
      <c r="K21" t="s">
        <v>22</v>
      </c>
      <c r="L21">
        <v>30</v>
      </c>
      <c r="M21">
        <v>0</v>
      </c>
    </row>
    <row r="22" spans="1:15" x14ac:dyDescent="0.2">
      <c r="A22" t="s">
        <v>27</v>
      </c>
      <c r="B22" t="s">
        <v>8</v>
      </c>
      <c r="C22" t="s">
        <v>16</v>
      </c>
      <c r="F22">
        <v>19</v>
      </c>
      <c r="H22">
        <f>(F22/L22)*10</f>
        <v>6.333333333333333</v>
      </c>
      <c r="K22">
        <v>4.3600000000000003</v>
      </c>
      <c r="L22">
        <v>30</v>
      </c>
    </row>
    <row r="23" spans="1:15" x14ac:dyDescent="0.2">
      <c r="A23" t="s">
        <v>27</v>
      </c>
      <c r="B23" t="s">
        <v>8</v>
      </c>
      <c r="C23" t="s">
        <v>17</v>
      </c>
      <c r="F23">
        <v>31</v>
      </c>
      <c r="H23">
        <f t="shared" ref="H23:H30" si="2">(F23/L23)*10</f>
        <v>10.333333333333334</v>
      </c>
      <c r="K23">
        <f>82.89/F23</f>
        <v>2.6738709677419354</v>
      </c>
      <c r="L23">
        <v>30</v>
      </c>
    </row>
    <row r="24" spans="1:15" x14ac:dyDescent="0.2">
      <c r="A24" t="s">
        <v>27</v>
      </c>
      <c r="B24" t="s">
        <v>9</v>
      </c>
      <c r="C24" t="s">
        <v>16</v>
      </c>
      <c r="F24">
        <v>9</v>
      </c>
      <c r="H24">
        <f t="shared" si="2"/>
        <v>3</v>
      </c>
      <c r="K24">
        <f>82.89/F24</f>
        <v>9.2100000000000009</v>
      </c>
      <c r="L24">
        <v>30</v>
      </c>
    </row>
    <row r="25" spans="1:15" x14ac:dyDescent="0.2">
      <c r="A25" t="s">
        <v>27</v>
      </c>
      <c r="B25" t="s">
        <v>9</v>
      </c>
      <c r="C25" t="s">
        <v>17</v>
      </c>
      <c r="F25">
        <v>11</v>
      </c>
      <c r="H25">
        <f t="shared" si="2"/>
        <v>3.6666666666666665</v>
      </c>
      <c r="K25">
        <f t="shared" ref="K25:K31" si="3">82.89/F25</f>
        <v>7.5354545454545452</v>
      </c>
      <c r="L25">
        <v>30</v>
      </c>
    </row>
    <row r="26" spans="1:15" x14ac:dyDescent="0.2">
      <c r="A26" t="s">
        <v>27</v>
      </c>
      <c r="B26" t="s">
        <v>10</v>
      </c>
      <c r="C26" t="s">
        <v>16</v>
      </c>
      <c r="F26">
        <v>10</v>
      </c>
      <c r="H26">
        <f t="shared" si="2"/>
        <v>3.333333333333333</v>
      </c>
      <c r="K26">
        <f t="shared" si="3"/>
        <v>8.2889999999999997</v>
      </c>
      <c r="L26">
        <v>30</v>
      </c>
    </row>
    <row r="27" spans="1:15" x14ac:dyDescent="0.2">
      <c r="A27" t="s">
        <v>27</v>
      </c>
      <c r="B27" t="s">
        <v>10</v>
      </c>
      <c r="C27" t="s">
        <v>17</v>
      </c>
      <c r="F27">
        <v>27</v>
      </c>
      <c r="H27">
        <f t="shared" si="2"/>
        <v>9</v>
      </c>
      <c r="K27">
        <f t="shared" si="3"/>
        <v>3.07</v>
      </c>
      <c r="L27">
        <v>30</v>
      </c>
      <c r="O27">
        <f>AVERAGE(K2,K4,K6,K8,K10,K12,K14,K16,K18,K20)</f>
        <v>10.004376083112289</v>
      </c>
    </row>
    <row r="28" spans="1:15" x14ac:dyDescent="0.2">
      <c r="A28" t="s">
        <v>27</v>
      </c>
      <c r="B28" t="s">
        <v>11</v>
      </c>
      <c r="C28" t="s">
        <v>16</v>
      </c>
      <c r="F28">
        <v>49</v>
      </c>
      <c r="H28">
        <f t="shared" si="2"/>
        <v>16.333333333333332</v>
      </c>
      <c r="K28">
        <f t="shared" si="3"/>
        <v>1.6916326530612245</v>
      </c>
      <c r="L28">
        <v>30</v>
      </c>
    </row>
    <row r="29" spans="1:15" x14ac:dyDescent="0.2">
      <c r="A29" t="s">
        <v>27</v>
      </c>
      <c r="B29" t="s">
        <v>11</v>
      </c>
      <c r="C29" t="s">
        <v>17</v>
      </c>
      <c r="F29">
        <v>9</v>
      </c>
      <c r="H29">
        <f t="shared" si="2"/>
        <v>3</v>
      </c>
      <c r="K29">
        <f t="shared" si="3"/>
        <v>9.2100000000000009</v>
      </c>
      <c r="L29">
        <v>30</v>
      </c>
      <c r="O29">
        <f>AVERAGE(K3,K5,K7,K9,K11,K15,K17,K19)</f>
        <v>10.414571922656489</v>
      </c>
    </row>
    <row r="30" spans="1:15" x14ac:dyDescent="0.2">
      <c r="A30" t="s">
        <v>27</v>
      </c>
      <c r="B30" t="s">
        <v>12</v>
      </c>
      <c r="C30" t="s">
        <v>16</v>
      </c>
      <c r="F30">
        <v>9</v>
      </c>
      <c r="H30">
        <f t="shared" si="2"/>
        <v>3</v>
      </c>
      <c r="K30">
        <f t="shared" si="3"/>
        <v>9.2100000000000009</v>
      </c>
      <c r="L30">
        <v>30</v>
      </c>
    </row>
    <row r="31" spans="1:15" x14ac:dyDescent="0.2">
      <c r="A31" t="s">
        <v>27</v>
      </c>
      <c r="B31" t="s">
        <v>12</v>
      </c>
      <c r="C31" t="s">
        <v>17</v>
      </c>
      <c r="F31">
        <v>19</v>
      </c>
      <c r="H31">
        <f>(F31/L31)*10</f>
        <v>6.333333333333333</v>
      </c>
      <c r="K31">
        <f t="shared" si="3"/>
        <v>4.3626315789473686</v>
      </c>
      <c r="L31">
        <v>30</v>
      </c>
    </row>
    <row r="32" spans="1:15" x14ac:dyDescent="0.2">
      <c r="A32" s="2" t="s">
        <v>13</v>
      </c>
      <c r="F32">
        <f>SUM(F2,F4,F6,F8,F10,F12,F14,F16,F18,F20)</f>
        <v>198</v>
      </c>
      <c r="G32">
        <f>SUM(G2,G4,G6,G8,G10,G12,G14,G16,G18,G20)</f>
        <v>112</v>
      </c>
      <c r="H32">
        <f>(F32/L32)*10</f>
        <v>7.1999999999999993</v>
      </c>
      <c r="I32">
        <f>(G32/L32)*10</f>
        <v>4.0727272727272732</v>
      </c>
      <c r="J32" s="1">
        <f>SUM(J2,J4,J6,J8,J10,J12,J14,J16,J18,J20)</f>
        <v>6444</v>
      </c>
      <c r="K32">
        <v>5.13</v>
      </c>
      <c r="L32">
        <f>SUM(L2,L4,L6,L8,L10,L12,L14,L16,L18,L20)</f>
        <v>275</v>
      </c>
      <c r="M32">
        <f>SUM(M2,M4,M6,M8,M10,M12,M14,M16,M18,M20)</f>
        <v>339</v>
      </c>
    </row>
    <row r="33" spans="1:15" x14ac:dyDescent="0.2">
      <c r="A33" s="2" t="s">
        <v>14</v>
      </c>
      <c r="F33">
        <f>SUM(F3,F5,F7,F9,F11,F13,F15,F17,F19,F21)</f>
        <v>318</v>
      </c>
      <c r="G33">
        <f>SUM(G3,G5,G7,G9,G11,G13,G15,G17,G19,G21)</f>
        <v>228</v>
      </c>
      <c r="H33">
        <f>(F33/L33)*10</f>
        <v>10.671140939597315</v>
      </c>
      <c r="I33">
        <f>(G33/L33)*10</f>
        <v>7.651006711409396</v>
      </c>
      <c r="J33">
        <f>SUM(J3,J5,J7,J9,J11,J13,J15,J17,J19,J21)</f>
        <v>341</v>
      </c>
      <c r="K33">
        <v>7.49</v>
      </c>
      <c r="L33">
        <f>SUM(L3,L5,L7,L9,L11,L13,L15,L17,L19,L21)</f>
        <v>298</v>
      </c>
      <c r="M33">
        <f>SUM(M3,M5,M7,M9,M11,M13,M15,M17,M19,M21)</f>
        <v>312</v>
      </c>
    </row>
    <row r="34" spans="1:15" x14ac:dyDescent="0.2">
      <c r="A34" t="s">
        <v>27</v>
      </c>
      <c r="F34">
        <f>SUM(F22:F31)</f>
        <v>193</v>
      </c>
      <c r="K34">
        <f>711.83/F34</f>
        <v>3.688238341968912</v>
      </c>
    </row>
    <row r="36" spans="1:15" x14ac:dyDescent="0.2">
      <c r="E36" t="s">
        <v>36</v>
      </c>
      <c r="F36">
        <f>_xlfn.STDEV.S(F2,F4,F6,F8,F10,F12,F14,F16,F18,F20)</f>
        <v>14.604413336005281</v>
      </c>
      <c r="M36" t="s">
        <v>29</v>
      </c>
      <c r="N36" t="s">
        <v>30</v>
      </c>
      <c r="O36" t="s">
        <v>31</v>
      </c>
    </row>
    <row r="37" spans="1:15" x14ac:dyDescent="0.2">
      <c r="E37" t="s">
        <v>37</v>
      </c>
      <c r="F37">
        <f>_xlfn.STDEV.S(F3,F5,F7,F9,F11,F13,F15,F17,F19,F21)</f>
        <v>32.375573782989207</v>
      </c>
      <c r="L37" t="s">
        <v>32</v>
      </c>
      <c r="M37">
        <f>M32*10</f>
        <v>3390</v>
      </c>
      <c r="N37">
        <f t="shared" ref="N37:O40" si="4">M37/60</f>
        <v>56.5</v>
      </c>
      <c r="O37">
        <f t="shared" si="4"/>
        <v>0.94166666666666665</v>
      </c>
    </row>
    <row r="38" spans="1:15" x14ac:dyDescent="0.2">
      <c r="L38" t="s">
        <v>33</v>
      </c>
      <c r="M38">
        <f>J32*10</f>
        <v>64440</v>
      </c>
      <c r="N38">
        <f t="shared" si="4"/>
        <v>1074</v>
      </c>
      <c r="O38">
        <f t="shared" si="4"/>
        <v>17.899999999999999</v>
      </c>
    </row>
    <row r="39" spans="1:15" x14ac:dyDescent="0.2">
      <c r="L39" t="s">
        <v>34</v>
      </c>
      <c r="M39">
        <f>M33*10</f>
        <v>3120</v>
      </c>
      <c r="N39">
        <f t="shared" si="4"/>
        <v>52</v>
      </c>
      <c r="O39">
        <f t="shared" si="4"/>
        <v>0.8666666666666667</v>
      </c>
    </row>
    <row r="40" spans="1:15" x14ac:dyDescent="0.2">
      <c r="L40" t="s">
        <v>35</v>
      </c>
      <c r="M40">
        <f>J33*10</f>
        <v>3410</v>
      </c>
      <c r="N40">
        <f t="shared" si="4"/>
        <v>56.833333333333336</v>
      </c>
      <c r="O40">
        <f t="shared" si="4"/>
        <v>0.9472222222222223</v>
      </c>
    </row>
    <row r="42" spans="1:15" x14ac:dyDescent="0.2">
      <c r="L42">
        <f>_xlfn.STDEV.S(L2:L31)</f>
        <v>3.4972895909201811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FBAF-3C3B-4C48-97A0-2335602E41E1}">
  <dimension ref="A1:B3"/>
  <sheetViews>
    <sheetView workbookViewId="0">
      <selection activeCell="A3" sqref="A3"/>
    </sheetView>
  </sheetViews>
  <sheetFormatPr baseColWidth="10" defaultRowHeight="16" x14ac:dyDescent="0.2"/>
  <sheetData>
    <row r="1" spans="1:2" x14ac:dyDescent="0.2">
      <c r="A1" t="s">
        <v>20</v>
      </c>
      <c r="B1" t="s">
        <v>21</v>
      </c>
    </row>
    <row r="2" spans="1:2" x14ac:dyDescent="0.2">
      <c r="A2">
        <v>101.08</v>
      </c>
      <c r="B2">
        <v>238.27</v>
      </c>
    </row>
    <row r="3" spans="1:2" x14ac:dyDescent="0.2">
      <c r="A3" s="2">
        <v>1010.75</v>
      </c>
      <c r="B3">
        <v>2382.69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3A76-2473-AF40-B06E-CD1328E17386}">
  <dimension ref="A1:D4"/>
  <sheetViews>
    <sheetView workbookViewId="0">
      <selection activeCell="D6" sqref="D6"/>
    </sheetView>
  </sheetViews>
  <sheetFormatPr baseColWidth="10" defaultRowHeight="16" x14ac:dyDescent="0.2"/>
  <sheetData>
    <row r="1" spans="1:4" x14ac:dyDescent="0.2">
      <c r="B1" t="s">
        <v>24</v>
      </c>
      <c r="C1" t="s">
        <v>25</v>
      </c>
      <c r="D1" t="s">
        <v>23</v>
      </c>
    </row>
    <row r="2" spans="1:4" x14ac:dyDescent="0.2">
      <c r="A2" t="s">
        <v>13</v>
      </c>
      <c r="B2">
        <v>6444</v>
      </c>
      <c r="C2">
        <v>339</v>
      </c>
      <c r="D2">
        <v>6783</v>
      </c>
    </row>
    <row r="3" spans="1:4" x14ac:dyDescent="0.2">
      <c r="A3" t="s">
        <v>14</v>
      </c>
      <c r="B3">
        <v>341</v>
      </c>
      <c r="C3">
        <v>312</v>
      </c>
      <c r="D3">
        <v>653</v>
      </c>
    </row>
    <row r="4" spans="1:4" x14ac:dyDescent="0.2">
      <c r="A4" t="s">
        <v>23</v>
      </c>
      <c r="B4">
        <v>6785</v>
      </c>
      <c r="C4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Emptyvsoccupied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Charese Kelly</dc:creator>
  <cp:lastModifiedBy>Charese Kelly</cp:lastModifiedBy>
  <dcterms:created xsi:type="dcterms:W3CDTF">2026-05-19T20:10:55Z</dcterms:created>
  <dcterms:modified xsi:type="dcterms:W3CDTF">2026-07-24T01:09:19Z</dcterms:modified>
</cp:coreProperties>
</file>